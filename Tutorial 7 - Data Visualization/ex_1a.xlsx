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BDE3AFCF-CE12-4DC0-8440-80A83CEBDD61}" xr6:coauthVersionLast="47" xr6:coauthVersionMax="47" xr10:uidLastSave="{00000000-0000-0000-0000-000000000000}"/>
  <bookViews>
    <workbookView xWindow="2175" yWindow="2175" windowWidth="16875" windowHeight="10432" xr2:uid="{03E02307-C26D-4937-9193-610735B699AA}"/>
  </bookViews>
  <sheets>
    <sheet name="eleven" sheetId="1" r:id="rId1"/>
  </sheets>
  <definedNames>
    <definedName name="_xlnm._FilterDatabase" localSheetId="0" hidden="1">eleven!$A$1:$A$12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G16" i="1"/>
  <c r="C3" i="1"/>
  <c r="C4" i="1"/>
  <c r="C5" i="1"/>
  <c r="C6" i="1"/>
  <c r="C7" i="1"/>
  <c r="C8" i="1"/>
  <c r="C9" i="1"/>
  <c r="C10" i="1"/>
  <c r="C11" i="1"/>
  <c r="C12" i="1"/>
  <c r="C2" i="1"/>
  <c r="G15" i="1"/>
  <c r="G14" i="1"/>
  <c r="C15" i="1"/>
  <c r="C14" i="1"/>
</calcChain>
</file>

<file path=xl/sharedStrings.xml><?xml version="1.0" encoding="utf-8"?>
<sst xmlns="http://schemas.openxmlformats.org/spreadsheetml/2006/main" count="7" uniqueCount="7">
  <si>
    <t>value</t>
  </si>
  <si>
    <t>Mean</t>
  </si>
  <si>
    <t>Median</t>
  </si>
  <si>
    <t>Gini</t>
  </si>
  <si>
    <t>n</t>
  </si>
  <si>
    <t>sum_x</t>
  </si>
  <si>
    <t>sum_ix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</si>
</sst>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income per individual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eleven!$A$1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eleven!$A$2:$A$12</c:f>
              <c:numCache>
                <c:formatCode>General</c:formatCode>
                <c:ptCount val="11"/>
                <c:pt idx="0">
                  <c:v>1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23</c:v>
                </c:pt>
                <c:pt idx="5">
                  <c:v>24</c:v>
                </c:pt>
                <c:pt idx="6">
                  <c:v>26</c:v>
                </c:pt>
                <c:pt idx="7">
                  <c:v>31</c:v>
                </c:pt>
                <c:pt idx="8">
                  <c:v>35</c:v>
                </c:pt>
                <c:pt idx="9">
                  <c:v>85</c:v>
                </c:pt>
                <c:pt idx="10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2-4F09-9EB6-FF2C8608E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667039"/>
        <c:axId val="1084331983"/>
      </c:barChart>
      <c:catAx>
        <c:axId val="917667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4331983"/>
        <c:crosses val="autoZero"/>
        <c:auto val="1"/>
        <c:lblAlgn val="ctr"/>
        <c:lblOffset val="100"/>
        <c:noMultiLvlLbl val="0"/>
      </c:catAx>
      <c:valAx>
        <c:axId val="108433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1766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416718</xdr:colOff>
      <xdr:row>2</xdr:row>
      <xdr:rowOff>171450</xdr:rowOff>
    </xdr:from>
    <xdr:to>
      <xdr:col>14</xdr:col>
      <xdr:colOff>454818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59224F-E50C-1161-B37E-6F9DD6D46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116A-0DA3-4EC7-B2D5-EDE313B2EBD9}">
  <dimension ref="A1:G17"/>
  <sheetViews>
    <sheetView tabSelected="1" workbookViewId="0">
      <selection activeCell="G6" sqref="G6"/>
    </sheetView>
  </sheetViews>
  <sheetFormatPr defaultRowHeight="14.25" x14ac:dyDescent="0.45"/>
  <sheetData>
    <row r="1" spans="1:7" x14ac:dyDescent="0.45">
      <c r="A1" t="s">
        <v>0</v>
      </c>
    </row>
    <row r="2" spans="1:7" x14ac:dyDescent="0.45">
      <c r="A2">
        <v>1</v>
      </c>
      <c r="B2">
        <v>1</v>
      </c>
      <c r="C2">
        <f>A2*B2</f>
        <v>1</v>
      </c>
    </row>
    <row r="3" spans="1:7" x14ac:dyDescent="0.45">
      <c r="A3">
        <v>8</v>
      </c>
      <c r="B3">
        <v>2</v>
      </c>
      <c r="C3">
        <f t="shared" ref="C3:C12" si="0">A3*B3</f>
        <v>16</v>
      </c>
    </row>
    <row r="4" spans="1:7" x14ac:dyDescent="0.45">
      <c r="A4">
        <v>11</v>
      </c>
      <c r="B4">
        <v>3</v>
      </c>
      <c r="C4">
        <f t="shared" si="0"/>
        <v>33</v>
      </c>
    </row>
    <row r="5" spans="1:7" x14ac:dyDescent="0.45">
      <c r="A5">
        <v>14</v>
      </c>
      <c r="B5">
        <v>4</v>
      </c>
      <c r="C5">
        <f t="shared" si="0"/>
        <v>56</v>
      </c>
    </row>
    <row r="6" spans="1:7" x14ac:dyDescent="0.45">
      <c r="A6">
        <v>23</v>
      </c>
      <c r="B6">
        <v>5</v>
      </c>
      <c r="C6">
        <f t="shared" si="0"/>
        <v>115</v>
      </c>
    </row>
    <row r="7" spans="1:7" x14ac:dyDescent="0.45">
      <c r="A7">
        <v>24</v>
      </c>
      <c r="B7">
        <v>6</v>
      </c>
      <c r="C7">
        <f t="shared" si="0"/>
        <v>144</v>
      </c>
    </row>
    <row r="8" spans="1:7" x14ac:dyDescent="0.45">
      <c r="A8">
        <v>26</v>
      </c>
      <c r="B8">
        <v>7</v>
      </c>
      <c r="C8">
        <f t="shared" si="0"/>
        <v>182</v>
      </c>
    </row>
    <row r="9" spans="1:7" x14ac:dyDescent="0.45">
      <c r="A9">
        <v>31</v>
      </c>
      <c r="B9">
        <v>8</v>
      </c>
      <c r="C9">
        <f t="shared" si="0"/>
        <v>248</v>
      </c>
    </row>
    <row r="10" spans="1:7" x14ac:dyDescent="0.45">
      <c r="A10">
        <v>35</v>
      </c>
      <c r="B10">
        <v>9</v>
      </c>
      <c r="C10">
        <f t="shared" si="0"/>
        <v>315</v>
      </c>
    </row>
    <row r="11" spans="1:7" x14ac:dyDescent="0.45">
      <c r="A11">
        <v>85</v>
      </c>
      <c r="B11">
        <v>10</v>
      </c>
      <c r="C11">
        <f t="shared" si="0"/>
        <v>850</v>
      </c>
    </row>
    <row r="12" spans="1:7" x14ac:dyDescent="0.45">
      <c r="A12">
        <v>219</v>
      </c>
      <c r="B12">
        <v>11</v>
      </c>
      <c r="C12">
        <f t="shared" si="0"/>
        <v>2409</v>
      </c>
    </row>
    <row r="14" spans="1:7" x14ac:dyDescent="0.45">
      <c r="B14" t="s">
        <v>1</v>
      </c>
      <c r="C14" s="1">
        <f>AVERAGE(A2:A12)</f>
        <v>43.363636363636367</v>
      </c>
      <c r="F14" t="s">
        <v>4</v>
      </c>
      <c r="G14">
        <f>COUNT(A2:A12)</f>
        <v>11</v>
      </c>
    </row>
    <row r="15" spans="1:7" x14ac:dyDescent="0.45">
      <c r="B15" t="s">
        <v>2</v>
      </c>
      <c r="C15">
        <f>MEDIAN(A2:A12)</f>
        <v>24</v>
      </c>
      <c r="F15" t="s">
        <v>5</v>
      </c>
      <c r="G15">
        <f>SUM(A2:A12)</f>
        <v>477</v>
      </c>
    </row>
    <row r="16" spans="1:7" x14ac:dyDescent="0.45">
      <c r="F16" t="s">
        <v>6</v>
      </c>
      <c r="G16">
        <f>SUM(C2:C12)</f>
        <v>4369</v>
      </c>
    </row>
    <row r="17" spans="2:3" x14ac:dyDescent="0.45">
      <c r="B17" s="2" t="s">
        <v>3</v>
      </c>
      <c r="C17" s="2">
        <f>(2*G16-(G14+1)*G15)/(G14*G15)</f>
        <v>0.57442348008385746</v>
      </c>
    </row>
  </sheetData>
  <autoFilter ref="A1:A12" xr:uid="{D1ED116A-0DA3-4EC7-B2D5-EDE313B2EBD9}">
    <sortState xmlns:xlrd2="http://schemas.microsoft.com/office/spreadsheetml/2017/richdata2" ref="A2:A12">
      <sortCondition ref="A2:A12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Kral</cp:lastModifiedBy>
  <dcterms:created xsi:type="dcterms:W3CDTF">2026-07-06T15:16:48Z</dcterms:created>
  <dcterms:modified xsi:type="dcterms:W3CDTF">2026-07-11T16:34:27Z</dcterms:modified>
</cp:coreProperties>
</file>
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Administrator\Dropbox\Shared Folder Florence\DST 2023-24 WS\Tutorial 4 - Data Handling &amp; Regression\"/>
    </mc:Choice>
  </mc:AlternateContent>
  <xr:revisionPtr revIDLastSave="0" documentId="13_ncr:1_{5D1A357B-DDBA-4CC7-A53F-1384FBF27E07}" xr6:coauthVersionLast="47" xr6:coauthVersionMax="47" xr10:uidLastSave="{00000000-0000-0000-0000-000000000000}"/>
  <bookViews>
    <workbookView xWindow="-120" yWindow="-120" windowWidth="57840" windowHeight="15840" xr2:uid="{00000000-000D-0000-FFFF-FFFF00000000}"/>
  </bookViews>
  <sheets>
    <sheet name="Overvie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8" i="1" l="1"/>
  <c r="O26" i="1"/>
  <c r="O24" i="1"/>
  <c r="Q13" i="1" a="1"/>
  <c r="Q13" i="1" s="1"/>
  <c r="O14" i="1" a="1"/>
  <c r="O14" i="1" s="1"/>
  <c r="O13" i="1" a="1"/>
  <c r="O13" i="1" s="1"/>
  <c r="P14" i="1" a="1"/>
  <c r="P14" i="1" s="1"/>
  <c r="P13" i="1" a="1"/>
  <c r="P13" i="1" s="1"/>
  <c r="Q8" i="1" a="1"/>
  <c r="Q8" i="1" s="1"/>
  <c r="O9" i="1" a="1"/>
  <c r="O9" i="1" s="1"/>
  <c r="O8" i="1" a="1"/>
  <c r="O8" i="1" s="1"/>
  <c r="P9" i="1" a="1"/>
  <c r="P9" i="1" s="1"/>
  <c r="P8" i="1" a="1"/>
  <c r="P8" i="1" s="1"/>
  <c r="Q3" i="1" a="1"/>
  <c r="Q3" i="1" s="1"/>
  <c r="O4" i="1" a="1"/>
  <c r="O4" i="1" s="1"/>
  <c r="O3" i="1" a="1"/>
  <c r="O3" i="1" s="1"/>
  <c r="P4" i="1" a="1"/>
  <c r="P4" i="1" s="1"/>
  <c r="P3" i="1" a="1"/>
  <c r="P3" i="1" s="1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2" i="1"/>
  <c r="I36" i="1" l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<sst xmlns="http://schemas.openxmlformats.org/spreadsheetml/2006/main" count="1047" uniqueCount="61">
  <si>
    <t>Datum</t>
  </si>
  <si>
    <t>Ort</t>
  </si>
  <si>
    <t>A</t>
  </si>
  <si>
    <t>Bor. Mönchengladbach</t>
  </si>
  <si>
    <t>H</t>
  </si>
  <si>
    <t>1. FC Köln</t>
  </si>
  <si>
    <t>Hertha BSC</t>
  </si>
  <si>
    <t>RB Leipzig</t>
  </si>
  <si>
    <t>VfL Bochum</t>
  </si>
  <si>
    <t>SpVgg Greuther Fürth</t>
  </si>
  <si>
    <t>Eintracht Frankfurt</t>
  </si>
  <si>
    <t>Bayer Leverkusen</t>
  </si>
  <si>
    <t>1899 Hoffenheim</t>
  </si>
  <si>
    <t>1. FC Union Berlin</t>
  </si>
  <si>
    <t>SC Freiburg</t>
  </si>
  <si>
    <t>FC Augsburg</t>
  </si>
  <si>
    <t>Arminia Bielefeld</t>
  </si>
  <si>
    <t>Borussia Dortmund</t>
  </si>
  <si>
    <t>1. FSV Mainz 05</t>
  </si>
  <si>
    <t>VfB Stuttgart</t>
  </si>
  <si>
    <t>VfL Wolfsburg</t>
  </si>
  <si>
    <t>FC Schalke 04</t>
  </si>
  <si>
    <t>Werder Bremen</t>
  </si>
  <si>
    <t>SC Paderborn 07</t>
  </si>
  <si>
    <t>Fortuna Düsseldorf</t>
  </si>
  <si>
    <t>1. FC Nürnberg</t>
  </si>
  <si>
    <t>Hannover 96</t>
  </si>
  <si>
    <t>Hamburger SV</t>
  </si>
  <si>
    <t>FC Ingolstadt 04</t>
  </si>
  <si>
    <t>SV Darmstadt 98</t>
  </si>
  <si>
    <t>Eintracht Braunschweig</t>
  </si>
  <si>
    <t>time</t>
  </si>
  <si>
    <t>gegner</t>
  </si>
  <si>
    <t>score1</t>
  </si>
  <si>
    <t>score2</t>
  </si>
  <si>
    <t>2021-22</t>
  </si>
  <si>
    <t>2020-21</t>
  </si>
  <si>
    <t>2019-20</t>
  </si>
  <si>
    <t>2018-19</t>
  </si>
  <si>
    <t>2017-18</t>
  </si>
  <si>
    <t>2016-17</t>
  </si>
  <si>
    <t>2015-16</t>
  </si>
  <si>
    <t>2014-15</t>
  </si>
  <si>
    <t>2013-14</t>
  </si>
  <si>
    <t>2012-13</t>
  </si>
  <si>
    <t>already_meister</t>
  </si>
  <si>
    <t>win</t>
  </si>
  <si>
    <t>saison</t>
  </si>
  <si>
    <t>win_draw</t>
  </si>
  <si>
    <t>WIN</t>
  </si>
  <si>
    <t>LOSE</t>
  </si>
  <si>
    <t>lose</t>
  </si>
  <si>
    <t>Spieltag</t>
  </si>
  <si>
    <t>Test for WIN</t>
  </si>
  <si>
    <t>Test of for LOSE</t>
  </si>
  <si>
    <t>Test for WINDRAW</t>
  </si>
  <si>
    <t>Games</t>
  </si>
  <si>
    <t>WINDRAW</t>
  </si>
  <si>
    <t>Total Win Rate</t>
  </si>
  <si>
    <t>Total Loss Rate</t>
  </si>
  <si>
    <t>Total Win-Draw-Rate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</si>
</sst>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000000000000"/>
    <numFmt numFmtId="166" formatCode="0.000000"/>
    <numFmt numFmtId="167" formatCode="0.00000000000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2" borderId="0" xfId="0" applyFill="1"/>
    <xf numFmtId="14" fontId="0" fillId="2" borderId="0" xfId="0" applyNumberFormat="1" applyFill="1"/>
    <xf numFmtId="20" fontId="0" fillId="2" borderId="0" xfId="0" applyNumberFormat="1" applyFill="1"/>
    <xf numFmtId="164" fontId="0" fillId="0" borderId="0" xfId="1" applyNumberFormat="1" applyFont="1"/>
    <xf numFmtId="0" fontId="3" fillId="0" borderId="0" xfId="0" applyFont="1"/>
    <xf numFmtId="0" fontId="2" fillId="0" borderId="0" xfId="0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471920</xdr:colOff>
      <xdr:row>15</xdr:row>
      <xdr:rowOff>106680</xdr:rowOff>
    </xdr:from>
    <xdr:to>
      <xdr:col>15</xdr:col>
      <xdr:colOff>17664</xdr:colOff>
      <xdr:row>21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4EE724-7A8D-1EC6-CAA5-1EAB0C06F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0774160" y="2849880"/>
          <a:ext cx="2330854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R341"/>
  <sheetViews>
    <sheetView tabSelected="1" workbookViewId="0">
      <selection activeCell="O29" sqref="O29"/>
    </sheetView>
  </sheetViews>
  <sheetFormatPr defaultColWidth="11.5703125" defaultRowHeight="15" x14ac:dyDescent="0.25"/>
  <cols>
    <col min="14" max="14" width="19.42578125" customWidth="1"/>
    <col min="15" max="15" width="21.140625" bestFit="1" customWidth="1"/>
    <col min="17" max="17" width="21.5703125" bestFit="1" customWidth="1"/>
    <col min="18" max="18" width="20.28515625" bestFit="1" customWidth="1"/>
  </cols>
  <sheetData>
    <row r="1" spans="1:18" x14ac:dyDescent="0.25">
      <c r="A1" t="s">
        <v>47</v>
      </c>
      <c r="B1" t="s">
        <v>52</v>
      </c>
      <c r="C1" t="s">
        <v>0</v>
      </c>
      <c r="D1" t="s">
        <v>31</v>
      </c>
      <c r="E1" t="s">
        <v>1</v>
      </c>
      <c r="F1" t="s">
        <v>32</v>
      </c>
      <c r="G1" t="s">
        <v>33</v>
      </c>
      <c r="H1" t="s">
        <v>34</v>
      </c>
      <c r="I1" t="s">
        <v>46</v>
      </c>
      <c r="J1" t="s">
        <v>45</v>
      </c>
      <c r="K1" t="s">
        <v>48</v>
      </c>
      <c r="L1" t="s">
        <v>51</v>
      </c>
    </row>
    <row r="2" spans="1:18" x14ac:dyDescent="0.25">
      <c r="A2" t="s">
        <v>35</v>
      </c>
      <c r="B2">
        <v>1</v>
      </c>
      <c r="C2" s="1">
        <v>44421</v>
      </c>
      <c r="D2" s="2">
        <v>0.85416666666666663</v>
      </c>
      <c r="E2" t="s">
        <v>2</v>
      </c>
      <c r="F2" t="s">
        <v>3</v>
      </c>
      <c r="G2">
        <v>1</v>
      </c>
      <c r="H2">
        <v>1</v>
      </c>
      <c r="I2">
        <f>IF(G2&gt;H2,1,0)</f>
        <v>0</v>
      </c>
      <c r="J2">
        <v>0</v>
      </c>
      <c r="K2">
        <f>IF(G2&gt;=H2,1,0)</f>
        <v>1</v>
      </c>
      <c r="L2">
        <f>IF(H2&gt;G2,1,0)</f>
        <v>0</v>
      </c>
      <c r="N2" t="s">
        <v>45</v>
      </c>
      <c r="O2" s="8" t="s">
        <v>49</v>
      </c>
      <c r="P2" t="s">
        <v>56</v>
      </c>
      <c r="Q2" t="s">
        <v>58</v>
      </c>
    </row>
    <row r="3" spans="1:18" x14ac:dyDescent="0.25">
      <c r="A3" t="s">
        <v>35</v>
      </c>
      <c r="B3">
        <v>2</v>
      </c>
      <c r="C3" s="1">
        <v>44430</v>
      </c>
      <c r="D3" s="2">
        <v>0.72916666666666663</v>
      </c>
      <c r="E3" t="s">
        <v>4</v>
      </c>
      <c r="F3" t="s">
        <v>5</v>
      </c>
      <c r="G3">
        <v>3</v>
      </c>
      <c r="H3">
        <v>2</v>
      </c>
      <c r="I3">
        <f t="shared" ref="I3:I66" si="0">IF(G3&gt;H3,1,0)</f>
        <v>1</v>
      </c>
      <c r="J3">
        <v>0</v>
      </c>
      <c r="K3">
        <f t="shared" ref="K3:K66" si="1">IF(G3&gt;=H3,1,0)</f>
        <v>1</v>
      </c>
      <c r="L3">
        <f t="shared" ref="L3:L66" si="2">IF(H3&gt;G3,1,0)</f>
        <v>0</v>
      </c>
      <c r="N3">
        <v>0</v>
      </c>
      <c r="O3" s="6" cm="1">
        <f t="array" ref="O3">SUMPRODUCT(--($J$2:$J$341=N3)*--($I$2:$I$341=1))/P3</f>
        <v>0.78175895765472314</v>
      </c>
      <c r="P3" cm="1">
        <f t="array" ref="P3">SUMPRODUCT(--($J$2:$J$341=N3))</f>
        <v>307</v>
      </c>
      <c r="Q3" s="11" cm="1">
        <f t="array" ref="Q3">SUMPRODUCT(--($I$2:$I$341=1))/SUM(P3:P4)</f>
        <v>0.76764705882352946</v>
      </c>
    </row>
    <row r="4" spans="1:18" x14ac:dyDescent="0.25">
      <c r="A4" t="s">
        <v>35</v>
      </c>
      <c r="B4">
        <v>3</v>
      </c>
      <c r="C4" s="1">
        <v>44436</v>
      </c>
      <c r="D4" s="2">
        <v>0.77083333333333337</v>
      </c>
      <c r="E4" t="s">
        <v>4</v>
      </c>
      <c r="F4" t="s">
        <v>6</v>
      </c>
      <c r="G4">
        <v>5</v>
      </c>
      <c r="H4">
        <v>0</v>
      </c>
      <c r="I4">
        <f t="shared" si="0"/>
        <v>1</v>
      </c>
      <c r="J4">
        <v>0</v>
      </c>
      <c r="K4">
        <f t="shared" si="1"/>
        <v>1</v>
      </c>
      <c r="L4">
        <f t="shared" si="2"/>
        <v>0</v>
      </c>
      <c r="N4">
        <v>1</v>
      </c>
      <c r="O4" s="6" cm="1">
        <f t="array" ref="O4">SUMPRODUCT(--($J$2:$J$341=N4)*--($I$2:$I$341=1))/P4</f>
        <v>0.63636363636363635</v>
      </c>
      <c r="P4" cm="1">
        <f t="array" ref="P4">SUMPRODUCT(--($J$2:$J$341=N4))</f>
        <v>33</v>
      </c>
    </row>
    <row r="5" spans="1:18" x14ac:dyDescent="0.25">
      <c r="A5" t="s">
        <v>35</v>
      </c>
      <c r="B5">
        <v>4</v>
      </c>
      <c r="C5" s="1">
        <v>44450</v>
      </c>
      <c r="D5" s="2">
        <v>0.77083333333333337</v>
      </c>
      <c r="E5" t="s">
        <v>2</v>
      </c>
      <c r="F5" t="s">
        <v>7</v>
      </c>
      <c r="G5">
        <v>4</v>
      </c>
      <c r="H5">
        <v>1</v>
      </c>
      <c r="I5">
        <f t="shared" si="0"/>
        <v>1</v>
      </c>
      <c r="J5">
        <v>0</v>
      </c>
      <c r="K5">
        <f t="shared" si="1"/>
        <v>1</v>
      </c>
      <c r="L5">
        <f t="shared" si="2"/>
        <v>0</v>
      </c>
    </row>
    <row r="6" spans="1:18" x14ac:dyDescent="0.25">
      <c r="A6" t="s">
        <v>35</v>
      </c>
      <c r="B6">
        <v>5</v>
      </c>
      <c r="C6" s="1">
        <v>44457</v>
      </c>
      <c r="D6" s="2">
        <v>0.64583333333333337</v>
      </c>
      <c r="E6" t="s">
        <v>4</v>
      </c>
      <c r="F6" t="s">
        <v>8</v>
      </c>
      <c r="G6">
        <v>7</v>
      </c>
      <c r="H6">
        <v>0</v>
      </c>
      <c r="I6">
        <f t="shared" si="0"/>
        <v>1</v>
      </c>
      <c r="J6">
        <v>0</v>
      </c>
      <c r="K6">
        <f t="shared" si="1"/>
        <v>1</v>
      </c>
      <c r="L6">
        <f t="shared" si="2"/>
        <v>0</v>
      </c>
      <c r="N6" s="7"/>
    </row>
    <row r="7" spans="1:18" x14ac:dyDescent="0.25">
      <c r="A7" t="s">
        <v>35</v>
      </c>
      <c r="B7">
        <v>6</v>
      </c>
      <c r="C7" s="1">
        <v>44463</v>
      </c>
      <c r="D7" s="2">
        <v>0.85416666666666663</v>
      </c>
      <c r="E7" t="s">
        <v>2</v>
      </c>
      <c r="F7" t="s">
        <v>9</v>
      </c>
      <c r="G7">
        <v>3</v>
      </c>
      <c r="H7">
        <v>1</v>
      </c>
      <c r="I7">
        <f t="shared" si="0"/>
        <v>1</v>
      </c>
      <c r="J7">
        <v>0</v>
      </c>
      <c r="K7">
        <f t="shared" si="1"/>
        <v>1</v>
      </c>
      <c r="L7">
        <f t="shared" si="2"/>
        <v>0</v>
      </c>
      <c r="N7" t="s">
        <v>45</v>
      </c>
      <c r="O7" s="8" t="s">
        <v>50</v>
      </c>
      <c r="P7" t="s">
        <v>56</v>
      </c>
      <c r="Q7" t="s">
        <v>59</v>
      </c>
    </row>
    <row r="8" spans="1:18" x14ac:dyDescent="0.25">
      <c r="A8" t="s">
        <v>35</v>
      </c>
      <c r="B8">
        <v>7</v>
      </c>
      <c r="C8" s="1">
        <v>44472</v>
      </c>
      <c r="D8" s="2">
        <v>0.72916666666666663</v>
      </c>
      <c r="E8" t="s">
        <v>4</v>
      </c>
      <c r="F8" t="s">
        <v>10</v>
      </c>
      <c r="G8">
        <v>1</v>
      </c>
      <c r="H8">
        <v>2</v>
      </c>
      <c r="I8">
        <f t="shared" si="0"/>
        <v>0</v>
      </c>
      <c r="J8">
        <v>0</v>
      </c>
      <c r="K8">
        <f t="shared" si="1"/>
        <v>0</v>
      </c>
      <c r="L8">
        <f t="shared" si="2"/>
        <v>1</v>
      </c>
      <c r="N8">
        <v>0</v>
      </c>
      <c r="O8" s="6" cm="1">
        <f t="array" ref="O8">SUMPRODUCT(--($J$2:$J$341=N8)*--($L$2:$L$341=1))/P8</f>
        <v>8.4690553745928335E-2</v>
      </c>
      <c r="P8" cm="1">
        <f t="array" ref="P8">SUMPRODUCT(--($J$2:$J$341=N8))</f>
        <v>307</v>
      </c>
      <c r="Q8" s="11" cm="1">
        <f t="array" ref="Q8">SUMPRODUCT(--($L$2:$L$341=1))/SUM(P8:P9)</f>
        <v>9.7058823529411767E-2</v>
      </c>
    </row>
    <row r="9" spans="1:18" x14ac:dyDescent="0.25">
      <c r="A9" t="s">
        <v>35</v>
      </c>
      <c r="B9">
        <v>8</v>
      </c>
      <c r="C9" s="1">
        <v>44486</v>
      </c>
      <c r="D9" s="2">
        <v>0.64583333333333337</v>
      </c>
      <c r="E9" t="s">
        <v>2</v>
      </c>
      <c r="F9" t="s">
        <v>11</v>
      </c>
      <c r="G9">
        <v>5</v>
      </c>
      <c r="H9">
        <v>1</v>
      </c>
      <c r="I9">
        <f t="shared" si="0"/>
        <v>1</v>
      </c>
      <c r="J9">
        <v>0</v>
      </c>
      <c r="K9">
        <f t="shared" si="1"/>
        <v>1</v>
      </c>
      <c r="L9">
        <f t="shared" si="2"/>
        <v>0</v>
      </c>
      <c r="N9">
        <v>1</v>
      </c>
      <c r="O9" s="6" cm="1">
        <f t="array" ref="O9">SUMPRODUCT(--($J$2:$J$341=N9)*--($L$2:$L$341=1))/P9</f>
        <v>0.21212121212121213</v>
      </c>
      <c r="P9" cm="1">
        <f t="array" ref="P9">SUMPRODUCT(--($J$2:$J$341=N9))</f>
        <v>33</v>
      </c>
    </row>
    <row r="10" spans="1:18" x14ac:dyDescent="0.25">
      <c r="A10" t="s">
        <v>35</v>
      </c>
      <c r="B10">
        <v>9</v>
      </c>
      <c r="C10" s="1">
        <v>44492</v>
      </c>
      <c r="D10" s="2">
        <v>0.64583333333333337</v>
      </c>
      <c r="E10" t="s">
        <v>4</v>
      </c>
      <c r="F10" t="s">
        <v>12</v>
      </c>
      <c r="G10">
        <v>4</v>
      </c>
      <c r="H10">
        <v>0</v>
      </c>
      <c r="I10">
        <f t="shared" si="0"/>
        <v>1</v>
      </c>
      <c r="J10">
        <v>0</v>
      </c>
      <c r="K10">
        <f t="shared" si="1"/>
        <v>1</v>
      </c>
      <c r="L10">
        <f t="shared" si="2"/>
        <v>0</v>
      </c>
    </row>
    <row r="11" spans="1:18" x14ac:dyDescent="0.25">
      <c r="A11" t="s">
        <v>35</v>
      </c>
      <c r="B11">
        <v>10</v>
      </c>
      <c r="C11" s="1">
        <v>44499</v>
      </c>
      <c r="D11" s="2">
        <v>0.64583333333333337</v>
      </c>
      <c r="E11" t="s">
        <v>2</v>
      </c>
      <c r="F11" t="s">
        <v>13</v>
      </c>
      <c r="G11">
        <v>5</v>
      </c>
      <c r="H11">
        <v>2</v>
      </c>
      <c r="I11">
        <f t="shared" si="0"/>
        <v>1</v>
      </c>
      <c r="J11">
        <v>0</v>
      </c>
      <c r="K11">
        <f t="shared" si="1"/>
        <v>1</v>
      </c>
      <c r="L11">
        <f t="shared" si="2"/>
        <v>0</v>
      </c>
      <c r="O11" s="8"/>
    </row>
    <row r="12" spans="1:18" x14ac:dyDescent="0.25">
      <c r="A12" t="s">
        <v>35</v>
      </c>
      <c r="B12">
        <v>11</v>
      </c>
      <c r="C12" s="1">
        <v>44506</v>
      </c>
      <c r="D12" s="2">
        <v>0.64583333333333337</v>
      </c>
      <c r="E12" t="s">
        <v>4</v>
      </c>
      <c r="F12" t="s">
        <v>14</v>
      </c>
      <c r="G12">
        <v>2</v>
      </c>
      <c r="H12">
        <v>1</v>
      </c>
      <c r="I12">
        <f t="shared" si="0"/>
        <v>1</v>
      </c>
      <c r="J12">
        <v>0</v>
      </c>
      <c r="K12">
        <f t="shared" si="1"/>
        <v>1</v>
      </c>
      <c r="L12">
        <f t="shared" si="2"/>
        <v>0</v>
      </c>
      <c r="N12" t="s">
        <v>45</v>
      </c>
      <c r="O12" s="8" t="s">
        <v>57</v>
      </c>
      <c r="P12" t="s">
        <v>56</v>
      </c>
      <c r="Q12" t="s">
        <v>60</v>
      </c>
      <c r="R12" s="7"/>
    </row>
    <row r="13" spans="1:18" x14ac:dyDescent="0.25">
      <c r="A13" t="s">
        <v>35</v>
      </c>
      <c r="B13">
        <v>12</v>
      </c>
      <c r="C13" s="1">
        <v>44519</v>
      </c>
      <c r="D13" s="2">
        <v>0.85416666666666663</v>
      </c>
      <c r="E13" t="s">
        <v>2</v>
      </c>
      <c r="F13" t="s">
        <v>15</v>
      </c>
      <c r="G13">
        <v>1</v>
      </c>
      <c r="H13">
        <v>2</v>
      </c>
      <c r="I13">
        <f t="shared" si="0"/>
        <v>0</v>
      </c>
      <c r="J13">
        <v>0</v>
      </c>
      <c r="K13">
        <f t="shared" si="1"/>
        <v>0</v>
      </c>
      <c r="L13">
        <f t="shared" si="2"/>
        <v>1</v>
      </c>
      <c r="N13">
        <v>0</v>
      </c>
      <c r="O13" s="6" cm="1">
        <f t="array" ref="O13">SUMPRODUCT(--($J$2:$J$341=N13)*--($K$2:$K$341=1))/P13</f>
        <v>0.91530944625407162</v>
      </c>
      <c r="P13" cm="1">
        <f t="array" ref="P13">SUMPRODUCT(--($J$2:$J$341=N13))</f>
        <v>307</v>
      </c>
      <c r="Q13" s="11" cm="1">
        <f t="array" ref="Q13">SUMPRODUCT(--($K$2:$K$341=1))/SUM(P13:P14)</f>
        <v>0.90294117647058825</v>
      </c>
    </row>
    <row r="14" spans="1:18" x14ac:dyDescent="0.25">
      <c r="A14" t="s">
        <v>35</v>
      </c>
      <c r="B14">
        <v>13</v>
      </c>
      <c r="C14" s="1">
        <v>44527</v>
      </c>
      <c r="D14" s="2">
        <v>0.77083333333333337</v>
      </c>
      <c r="E14" t="s">
        <v>4</v>
      </c>
      <c r="F14" t="s">
        <v>16</v>
      </c>
      <c r="G14">
        <v>1</v>
      </c>
      <c r="H14">
        <v>0</v>
      </c>
      <c r="I14">
        <f t="shared" si="0"/>
        <v>1</v>
      </c>
      <c r="J14">
        <v>0</v>
      </c>
      <c r="K14">
        <f t="shared" si="1"/>
        <v>1</v>
      </c>
      <c r="L14">
        <f t="shared" si="2"/>
        <v>0</v>
      </c>
      <c r="N14">
        <v>1</v>
      </c>
      <c r="O14" s="6" cm="1">
        <f t="array" ref="O14">SUMPRODUCT(--($J$2:$J$341=N14)*--($K$2:$K$341=1))/P14</f>
        <v>0.78787878787878785</v>
      </c>
      <c r="P14" cm="1">
        <f t="array" ref="P14">SUMPRODUCT(--($J$2:$J$341=N14))</f>
        <v>33</v>
      </c>
    </row>
    <row r="15" spans="1:18" x14ac:dyDescent="0.25">
      <c r="A15" t="s">
        <v>35</v>
      </c>
      <c r="B15">
        <v>14</v>
      </c>
      <c r="C15" s="1">
        <v>44534</v>
      </c>
      <c r="D15" s="2">
        <v>0.77083333333333337</v>
      </c>
      <c r="E15" t="s">
        <v>2</v>
      </c>
      <c r="F15" t="s">
        <v>17</v>
      </c>
      <c r="G15">
        <v>3</v>
      </c>
      <c r="H15">
        <v>2</v>
      </c>
      <c r="I15">
        <f t="shared" si="0"/>
        <v>1</v>
      </c>
      <c r="J15">
        <v>0</v>
      </c>
      <c r="K15">
        <f t="shared" si="1"/>
        <v>1</v>
      </c>
      <c r="L15">
        <f t="shared" si="2"/>
        <v>0</v>
      </c>
    </row>
    <row r="16" spans="1:18" x14ac:dyDescent="0.25">
      <c r="A16" t="s">
        <v>35</v>
      </c>
      <c r="B16">
        <v>15</v>
      </c>
      <c r="C16" s="1">
        <v>44541</v>
      </c>
      <c r="D16" s="2">
        <v>0.64583333333333337</v>
      </c>
      <c r="E16" t="s">
        <v>4</v>
      </c>
      <c r="F16" t="s">
        <v>18</v>
      </c>
      <c r="G16">
        <v>2</v>
      </c>
      <c r="H16">
        <v>1</v>
      </c>
      <c r="I16">
        <f t="shared" si="0"/>
        <v>1</v>
      </c>
      <c r="J16">
        <v>0</v>
      </c>
      <c r="K16">
        <f t="shared" si="1"/>
        <v>1</v>
      </c>
      <c r="L16">
        <f t="shared" si="2"/>
        <v>0</v>
      </c>
      <c r="O16" s="8"/>
    </row>
    <row r="17" spans="1:15" x14ac:dyDescent="0.25">
      <c r="A17" t="s">
        <v>35</v>
      </c>
      <c r="B17">
        <v>16</v>
      </c>
      <c r="C17" s="1">
        <v>44544</v>
      </c>
      <c r="D17" s="2">
        <v>0.77083333333333337</v>
      </c>
      <c r="E17" t="s">
        <v>2</v>
      </c>
      <c r="F17" t="s">
        <v>19</v>
      </c>
      <c r="G17">
        <v>5</v>
      </c>
      <c r="H17">
        <v>0</v>
      </c>
      <c r="I17">
        <f t="shared" si="0"/>
        <v>1</v>
      </c>
      <c r="J17">
        <v>0</v>
      </c>
      <c r="K17">
        <f t="shared" si="1"/>
        <v>1</v>
      </c>
      <c r="L17">
        <f t="shared" si="2"/>
        <v>0</v>
      </c>
    </row>
    <row r="18" spans="1:15" x14ac:dyDescent="0.25">
      <c r="A18" t="s">
        <v>35</v>
      </c>
      <c r="B18">
        <v>17</v>
      </c>
      <c r="C18" s="1">
        <v>44547</v>
      </c>
      <c r="D18" s="2">
        <v>0.85416666666666663</v>
      </c>
      <c r="E18" t="s">
        <v>4</v>
      </c>
      <c r="F18" t="s">
        <v>20</v>
      </c>
      <c r="G18">
        <v>4</v>
      </c>
      <c r="H18">
        <v>0</v>
      </c>
      <c r="I18">
        <f t="shared" si="0"/>
        <v>1</v>
      </c>
      <c r="J18">
        <v>0</v>
      </c>
      <c r="K18">
        <f t="shared" si="1"/>
        <v>1</v>
      </c>
      <c r="L18">
        <f t="shared" si="2"/>
        <v>0</v>
      </c>
    </row>
    <row r="19" spans="1:15" x14ac:dyDescent="0.25">
      <c r="A19" t="s">
        <v>35</v>
      </c>
      <c r="B19">
        <v>18</v>
      </c>
      <c r="C19" s="1">
        <v>44568</v>
      </c>
      <c r="D19" s="2">
        <v>0.85416666666666663</v>
      </c>
      <c r="E19" t="s">
        <v>4</v>
      </c>
      <c r="F19" t="s">
        <v>3</v>
      </c>
      <c r="G19">
        <v>1</v>
      </c>
      <c r="H19">
        <v>2</v>
      </c>
      <c r="I19">
        <f t="shared" si="0"/>
        <v>0</v>
      </c>
      <c r="J19">
        <v>0</v>
      </c>
      <c r="K19">
        <f t="shared" si="1"/>
        <v>0</v>
      </c>
      <c r="L19">
        <f t="shared" si="2"/>
        <v>1</v>
      </c>
      <c r="O19" s="9"/>
    </row>
    <row r="20" spans="1:15" x14ac:dyDescent="0.25">
      <c r="A20" t="s">
        <v>35</v>
      </c>
      <c r="B20">
        <v>19</v>
      </c>
      <c r="C20" s="1">
        <v>44576</v>
      </c>
      <c r="D20" s="2">
        <v>0.64583333333333337</v>
      </c>
      <c r="E20" t="s">
        <v>2</v>
      </c>
      <c r="F20" t="s">
        <v>5</v>
      </c>
      <c r="G20">
        <v>4</v>
      </c>
      <c r="H20">
        <v>0</v>
      </c>
      <c r="I20">
        <f t="shared" si="0"/>
        <v>1</v>
      </c>
      <c r="J20">
        <v>0</v>
      </c>
      <c r="K20">
        <f t="shared" si="1"/>
        <v>1</v>
      </c>
      <c r="L20">
        <f t="shared" si="2"/>
        <v>0</v>
      </c>
      <c r="N20" s="7"/>
    </row>
    <row r="21" spans="1:15" x14ac:dyDescent="0.25">
      <c r="A21" t="s">
        <v>35</v>
      </c>
      <c r="B21">
        <v>20</v>
      </c>
      <c r="C21" s="1">
        <v>44584</v>
      </c>
      <c r="D21" s="2">
        <v>0.72916666666666663</v>
      </c>
      <c r="E21" t="s">
        <v>2</v>
      </c>
      <c r="F21" t="s">
        <v>6</v>
      </c>
      <c r="G21">
        <v>4</v>
      </c>
      <c r="H21">
        <v>1</v>
      </c>
      <c r="I21">
        <f t="shared" si="0"/>
        <v>1</v>
      </c>
      <c r="J21">
        <v>0</v>
      </c>
      <c r="K21">
        <f t="shared" si="1"/>
        <v>1</v>
      </c>
      <c r="L21">
        <f t="shared" si="2"/>
        <v>0</v>
      </c>
    </row>
    <row r="22" spans="1:15" x14ac:dyDescent="0.25">
      <c r="A22" t="s">
        <v>35</v>
      </c>
      <c r="B22">
        <v>21</v>
      </c>
      <c r="C22" s="1">
        <v>44597</v>
      </c>
      <c r="D22" s="2">
        <v>0.77083333333333337</v>
      </c>
      <c r="E22" t="s">
        <v>4</v>
      </c>
      <c r="F22" t="s">
        <v>7</v>
      </c>
      <c r="G22">
        <v>3</v>
      </c>
      <c r="H22">
        <v>2</v>
      </c>
      <c r="I22">
        <f t="shared" si="0"/>
        <v>1</v>
      </c>
      <c r="J22">
        <v>0</v>
      </c>
      <c r="K22">
        <f t="shared" si="1"/>
        <v>1</v>
      </c>
      <c r="L22">
        <f t="shared" si="2"/>
        <v>0</v>
      </c>
      <c r="O22" s="10"/>
    </row>
    <row r="23" spans="1:15" x14ac:dyDescent="0.25">
      <c r="A23" t="s">
        <v>35</v>
      </c>
      <c r="B23">
        <v>22</v>
      </c>
      <c r="C23" s="1">
        <v>44604</v>
      </c>
      <c r="D23" s="2">
        <v>0.64583333333333337</v>
      </c>
      <c r="E23" t="s">
        <v>2</v>
      </c>
      <c r="F23" t="s">
        <v>8</v>
      </c>
      <c r="G23">
        <v>2</v>
      </c>
      <c r="H23">
        <v>4</v>
      </c>
      <c r="I23">
        <f t="shared" si="0"/>
        <v>0</v>
      </c>
      <c r="J23">
        <v>0</v>
      </c>
      <c r="K23">
        <f t="shared" si="1"/>
        <v>0</v>
      </c>
      <c r="L23">
        <f t="shared" si="2"/>
        <v>1</v>
      </c>
    </row>
    <row r="24" spans="1:15" x14ac:dyDescent="0.25">
      <c r="A24" t="s">
        <v>35</v>
      </c>
      <c r="B24">
        <v>23</v>
      </c>
      <c r="C24" s="1">
        <v>44612</v>
      </c>
      <c r="D24" s="2">
        <v>0.64583333333333337</v>
      </c>
      <c r="E24" t="s">
        <v>4</v>
      </c>
      <c r="F24" t="s">
        <v>9</v>
      </c>
      <c r="G24">
        <v>4</v>
      </c>
      <c r="H24">
        <v>1</v>
      </c>
      <c r="I24">
        <f t="shared" si="0"/>
        <v>1</v>
      </c>
      <c r="J24">
        <v>0</v>
      </c>
      <c r="K24">
        <f t="shared" si="1"/>
        <v>1</v>
      </c>
      <c r="L24">
        <f t="shared" si="2"/>
        <v>0</v>
      </c>
      <c r="N24" t="s">
        <v>53</v>
      </c>
      <c r="O24" s="12">
        <f>(O3-O4)/SQRT(Q3*(1-Q3)*(1/P3+(1/P4)))</f>
        <v>1.8792400019854896</v>
      </c>
    </row>
    <row r="25" spans="1:15" x14ac:dyDescent="0.25">
      <c r="A25" t="s">
        <v>35</v>
      </c>
      <c r="B25">
        <v>24</v>
      </c>
      <c r="C25" s="1">
        <v>44618</v>
      </c>
      <c r="D25" s="2">
        <v>0.77083333333333337</v>
      </c>
      <c r="E25" t="s">
        <v>2</v>
      </c>
      <c r="F25" t="s">
        <v>10</v>
      </c>
      <c r="G25">
        <v>1</v>
      </c>
      <c r="H25">
        <v>0</v>
      </c>
      <c r="I25">
        <f t="shared" si="0"/>
        <v>1</v>
      </c>
      <c r="J25">
        <v>0</v>
      </c>
      <c r="K25">
        <f t="shared" si="1"/>
        <v>1</v>
      </c>
      <c r="L25">
        <f t="shared" si="2"/>
        <v>0</v>
      </c>
    </row>
    <row r="26" spans="1:15" x14ac:dyDescent="0.25">
      <c r="A26" t="s">
        <v>35</v>
      </c>
      <c r="B26">
        <v>25</v>
      </c>
      <c r="C26" s="1">
        <v>44625</v>
      </c>
      <c r="D26" s="2">
        <v>0.64583333333333337</v>
      </c>
      <c r="E26" t="s">
        <v>4</v>
      </c>
      <c r="F26" t="s">
        <v>11</v>
      </c>
      <c r="G26">
        <v>1</v>
      </c>
      <c r="H26">
        <v>1</v>
      </c>
      <c r="I26">
        <f t="shared" si="0"/>
        <v>0</v>
      </c>
      <c r="J26">
        <v>0</v>
      </c>
      <c r="K26">
        <f t="shared" si="1"/>
        <v>1</v>
      </c>
      <c r="L26">
        <f t="shared" si="2"/>
        <v>0</v>
      </c>
      <c r="N26" t="s">
        <v>54</v>
      </c>
      <c r="O26">
        <f>(O9-O8)/SQRT((Q8*(1-Q8)*(1/P8+1/P9)))</f>
        <v>2.3497052402260619</v>
      </c>
    </row>
    <row r="27" spans="1:15" x14ac:dyDescent="0.25">
      <c r="A27" t="s">
        <v>35</v>
      </c>
      <c r="B27">
        <v>26</v>
      </c>
      <c r="C27" s="1">
        <v>44632</v>
      </c>
      <c r="D27" s="2">
        <v>0.64583333333333337</v>
      </c>
      <c r="E27" t="s">
        <v>2</v>
      </c>
      <c r="F27" t="s">
        <v>12</v>
      </c>
      <c r="G27">
        <v>1</v>
      </c>
      <c r="H27">
        <v>1</v>
      </c>
      <c r="I27">
        <f t="shared" si="0"/>
        <v>0</v>
      </c>
      <c r="J27">
        <v>0</v>
      </c>
      <c r="K27">
        <f t="shared" si="1"/>
        <v>1</v>
      </c>
      <c r="L27">
        <f t="shared" si="2"/>
        <v>0</v>
      </c>
    </row>
    <row r="28" spans="1:15" x14ac:dyDescent="0.25">
      <c r="A28" t="s">
        <v>35</v>
      </c>
      <c r="B28">
        <v>27</v>
      </c>
      <c r="C28" s="1">
        <v>44639</v>
      </c>
      <c r="D28" s="2">
        <v>0.77083333333333337</v>
      </c>
      <c r="E28" t="s">
        <v>4</v>
      </c>
      <c r="F28" t="s">
        <v>13</v>
      </c>
      <c r="G28">
        <v>4</v>
      </c>
      <c r="H28">
        <v>0</v>
      </c>
      <c r="I28">
        <f t="shared" si="0"/>
        <v>1</v>
      </c>
      <c r="J28">
        <v>0</v>
      </c>
      <c r="K28">
        <f t="shared" si="1"/>
        <v>1</v>
      </c>
      <c r="L28">
        <f t="shared" si="2"/>
        <v>0</v>
      </c>
      <c r="N28" t="s">
        <v>55</v>
      </c>
      <c r="O28">
        <f>(O14-O13)/SQRT((Q13*(1-Q13)*(1/P13+1/P14)))</f>
        <v>-2.3497052402260623</v>
      </c>
    </row>
    <row r="29" spans="1:15" x14ac:dyDescent="0.25">
      <c r="A29" t="s">
        <v>35</v>
      </c>
      <c r="B29">
        <v>28</v>
      </c>
      <c r="C29" s="1">
        <v>44653</v>
      </c>
      <c r="D29" s="2">
        <v>0.64583333333333337</v>
      </c>
      <c r="E29" t="s">
        <v>2</v>
      </c>
      <c r="F29" t="s">
        <v>14</v>
      </c>
      <c r="G29">
        <v>4</v>
      </c>
      <c r="H29">
        <v>1</v>
      </c>
      <c r="I29">
        <f t="shared" si="0"/>
        <v>1</v>
      </c>
      <c r="J29">
        <v>0</v>
      </c>
      <c r="K29">
        <f t="shared" si="1"/>
        <v>1</v>
      </c>
      <c r="L29">
        <f t="shared" si="2"/>
        <v>0</v>
      </c>
    </row>
    <row r="30" spans="1:15" x14ac:dyDescent="0.25">
      <c r="A30" t="s">
        <v>35</v>
      </c>
      <c r="B30">
        <v>29</v>
      </c>
      <c r="C30" s="1">
        <v>44660</v>
      </c>
      <c r="D30" s="2">
        <v>0.64583333333333337</v>
      </c>
      <c r="E30" t="s">
        <v>4</v>
      </c>
      <c r="F30" t="s">
        <v>15</v>
      </c>
      <c r="G30">
        <v>1</v>
      </c>
      <c r="H30">
        <v>0</v>
      </c>
      <c r="I30">
        <f t="shared" si="0"/>
        <v>1</v>
      </c>
      <c r="J30">
        <v>0</v>
      </c>
      <c r="K30">
        <f t="shared" si="1"/>
        <v>1</v>
      </c>
      <c r="L30">
        <f t="shared" si="2"/>
        <v>0</v>
      </c>
    </row>
    <row r="31" spans="1:15" x14ac:dyDescent="0.25">
      <c r="A31" t="s">
        <v>35</v>
      </c>
      <c r="B31">
        <v>30</v>
      </c>
      <c r="C31" s="1">
        <v>44668</v>
      </c>
      <c r="D31" s="2">
        <v>0.64583333333333337</v>
      </c>
      <c r="E31" t="s">
        <v>2</v>
      </c>
      <c r="F31" t="s">
        <v>16</v>
      </c>
      <c r="G31">
        <v>3</v>
      </c>
      <c r="H31">
        <v>0</v>
      </c>
      <c r="I31">
        <f t="shared" si="0"/>
        <v>1</v>
      </c>
      <c r="J31">
        <v>0</v>
      </c>
      <c r="K31">
        <f t="shared" si="1"/>
        <v>1</v>
      </c>
      <c r="L31">
        <f t="shared" si="2"/>
        <v>0</v>
      </c>
    </row>
    <row r="32" spans="1:15" x14ac:dyDescent="0.25">
      <c r="A32" s="3" t="s">
        <v>35</v>
      </c>
      <c r="B32" s="3">
        <v>31</v>
      </c>
      <c r="C32" s="4">
        <v>44674</v>
      </c>
      <c r="D32" s="5">
        <v>0.77083333333333337</v>
      </c>
      <c r="E32" s="3" t="s">
        <v>4</v>
      </c>
      <c r="F32" s="3" t="s">
        <v>17</v>
      </c>
      <c r="G32" s="3">
        <v>3</v>
      </c>
      <c r="H32" s="3">
        <v>1</v>
      </c>
      <c r="I32" s="3">
        <f t="shared" si="0"/>
        <v>1</v>
      </c>
      <c r="J32" s="3">
        <v>0</v>
      </c>
      <c r="K32">
        <f t="shared" si="1"/>
        <v>1</v>
      </c>
      <c r="L32">
        <f t="shared" si="2"/>
        <v>0</v>
      </c>
    </row>
    <row r="33" spans="1:12" x14ac:dyDescent="0.25">
      <c r="A33" t="s">
        <v>35</v>
      </c>
      <c r="B33">
        <v>32</v>
      </c>
      <c r="C33" s="1">
        <v>44681</v>
      </c>
      <c r="D33" s="2">
        <v>0.64583333333333337</v>
      </c>
      <c r="E33" t="s">
        <v>2</v>
      </c>
      <c r="F33" t="s">
        <v>18</v>
      </c>
      <c r="G33">
        <v>1</v>
      </c>
      <c r="H33">
        <v>3</v>
      </c>
      <c r="I33">
        <f t="shared" si="0"/>
        <v>0</v>
      </c>
      <c r="J33">
        <v>1</v>
      </c>
      <c r="K33">
        <f t="shared" si="1"/>
        <v>0</v>
      </c>
      <c r="L33">
        <f t="shared" si="2"/>
        <v>1</v>
      </c>
    </row>
    <row r="34" spans="1:12" x14ac:dyDescent="0.25">
      <c r="A34" t="s">
        <v>35</v>
      </c>
      <c r="B34">
        <v>33</v>
      </c>
      <c r="C34" s="1">
        <v>44689</v>
      </c>
      <c r="D34" s="2">
        <v>0.72916666666666663</v>
      </c>
      <c r="E34" t="s">
        <v>4</v>
      </c>
      <c r="F34" t="s">
        <v>19</v>
      </c>
      <c r="G34">
        <v>2</v>
      </c>
      <c r="H34">
        <v>2</v>
      </c>
      <c r="I34">
        <f t="shared" si="0"/>
        <v>0</v>
      </c>
      <c r="J34">
        <v>1</v>
      </c>
      <c r="K34">
        <f t="shared" si="1"/>
        <v>1</v>
      </c>
      <c r="L34">
        <f t="shared" si="2"/>
        <v>0</v>
      </c>
    </row>
    <row r="35" spans="1:12" x14ac:dyDescent="0.25">
      <c r="A35" t="s">
        <v>35</v>
      </c>
      <c r="B35">
        <v>34</v>
      </c>
      <c r="C35" s="1">
        <v>44695</v>
      </c>
      <c r="D35" s="2">
        <v>0.64583333333333337</v>
      </c>
      <c r="E35" t="s">
        <v>2</v>
      </c>
      <c r="F35" t="s">
        <v>20</v>
      </c>
      <c r="G35">
        <v>2</v>
      </c>
      <c r="H35">
        <v>2</v>
      </c>
      <c r="I35">
        <f t="shared" si="0"/>
        <v>0</v>
      </c>
      <c r="J35">
        <v>1</v>
      </c>
      <c r="K35">
        <f t="shared" si="1"/>
        <v>1</v>
      </c>
      <c r="L35">
        <f t="shared" si="2"/>
        <v>0</v>
      </c>
    </row>
    <row r="36" spans="1:12" x14ac:dyDescent="0.25">
      <c r="A36" t="s">
        <v>36</v>
      </c>
      <c r="B36">
        <v>1</v>
      </c>
      <c r="C36" s="1">
        <v>44092</v>
      </c>
      <c r="D36" s="2">
        <v>0.85416666666666663</v>
      </c>
      <c r="E36" t="s">
        <v>4</v>
      </c>
      <c r="F36" t="s">
        <v>21</v>
      </c>
      <c r="G36">
        <v>8</v>
      </c>
      <c r="H36">
        <v>0</v>
      </c>
      <c r="I36">
        <f t="shared" si="0"/>
        <v>1</v>
      </c>
      <c r="J36">
        <v>0</v>
      </c>
      <c r="K36">
        <f t="shared" si="1"/>
        <v>1</v>
      </c>
      <c r="L36">
        <f t="shared" si="2"/>
        <v>0</v>
      </c>
    </row>
    <row r="37" spans="1:12" x14ac:dyDescent="0.25">
      <c r="A37" t="s">
        <v>36</v>
      </c>
      <c r="B37">
        <v>2</v>
      </c>
      <c r="C37" s="1">
        <v>44101</v>
      </c>
      <c r="D37" s="2">
        <v>0.64583333333333337</v>
      </c>
      <c r="E37" t="s">
        <v>2</v>
      </c>
      <c r="F37" t="s">
        <v>12</v>
      </c>
      <c r="G37">
        <v>1</v>
      </c>
      <c r="H37">
        <v>4</v>
      </c>
      <c r="I37">
        <f t="shared" si="0"/>
        <v>0</v>
      </c>
      <c r="J37">
        <v>0</v>
      </c>
      <c r="K37">
        <f t="shared" si="1"/>
        <v>0</v>
      </c>
      <c r="L37">
        <f t="shared" si="2"/>
        <v>1</v>
      </c>
    </row>
    <row r="38" spans="1:12" x14ac:dyDescent="0.25">
      <c r="A38" t="s">
        <v>36</v>
      </c>
      <c r="B38">
        <v>3</v>
      </c>
      <c r="C38" s="1">
        <v>44108</v>
      </c>
      <c r="D38" s="2">
        <v>0.75</v>
      </c>
      <c r="E38" t="s">
        <v>4</v>
      </c>
      <c r="F38" t="s">
        <v>6</v>
      </c>
      <c r="G38">
        <v>4</v>
      </c>
      <c r="H38">
        <v>3</v>
      </c>
      <c r="I38">
        <f t="shared" si="0"/>
        <v>1</v>
      </c>
      <c r="J38">
        <v>0</v>
      </c>
      <c r="K38">
        <f t="shared" si="1"/>
        <v>1</v>
      </c>
      <c r="L38">
        <f t="shared" si="2"/>
        <v>0</v>
      </c>
    </row>
    <row r="39" spans="1:12" x14ac:dyDescent="0.25">
      <c r="A39" t="s">
        <v>36</v>
      </c>
      <c r="B39">
        <v>4</v>
      </c>
      <c r="C39" s="1">
        <v>44121</v>
      </c>
      <c r="D39" s="2">
        <v>0.77083333333333337</v>
      </c>
      <c r="E39" t="s">
        <v>2</v>
      </c>
      <c r="F39" t="s">
        <v>16</v>
      </c>
      <c r="G39">
        <v>4</v>
      </c>
      <c r="H39">
        <v>1</v>
      </c>
      <c r="I39">
        <f t="shared" si="0"/>
        <v>1</v>
      </c>
      <c r="J39">
        <v>0</v>
      </c>
      <c r="K39">
        <f t="shared" si="1"/>
        <v>1</v>
      </c>
      <c r="L39">
        <f t="shared" si="2"/>
        <v>0</v>
      </c>
    </row>
    <row r="40" spans="1:12" x14ac:dyDescent="0.25">
      <c r="A40" t="s">
        <v>36</v>
      </c>
      <c r="B40">
        <v>5</v>
      </c>
      <c r="C40" s="1">
        <v>44128</v>
      </c>
      <c r="D40" s="2">
        <v>0.64583333333333337</v>
      </c>
      <c r="E40" t="s">
        <v>4</v>
      </c>
      <c r="F40" t="s">
        <v>10</v>
      </c>
      <c r="G40">
        <v>5</v>
      </c>
      <c r="H40">
        <v>0</v>
      </c>
      <c r="I40">
        <f t="shared" si="0"/>
        <v>1</v>
      </c>
      <c r="J40">
        <v>0</v>
      </c>
      <c r="K40">
        <f t="shared" si="1"/>
        <v>1</v>
      </c>
      <c r="L40">
        <f t="shared" si="2"/>
        <v>0</v>
      </c>
    </row>
    <row r="41" spans="1:12" x14ac:dyDescent="0.25">
      <c r="A41" t="s">
        <v>36</v>
      </c>
      <c r="B41">
        <v>6</v>
      </c>
      <c r="C41" s="1">
        <v>44135</v>
      </c>
      <c r="D41" s="2">
        <v>0.64583333333333337</v>
      </c>
      <c r="E41" t="s">
        <v>2</v>
      </c>
      <c r="F41" t="s">
        <v>5</v>
      </c>
      <c r="G41">
        <v>2</v>
      </c>
      <c r="H41">
        <v>1</v>
      </c>
      <c r="I41">
        <f t="shared" si="0"/>
        <v>1</v>
      </c>
      <c r="J41">
        <v>0</v>
      </c>
      <c r="K41">
        <f t="shared" si="1"/>
        <v>1</v>
      </c>
      <c r="L41">
        <f t="shared" si="2"/>
        <v>0</v>
      </c>
    </row>
    <row r="42" spans="1:12" x14ac:dyDescent="0.25">
      <c r="A42" t="s">
        <v>36</v>
      </c>
      <c r="B42">
        <v>7</v>
      </c>
      <c r="C42" s="1">
        <v>44142</v>
      </c>
      <c r="D42" s="2">
        <v>0.77083333333333337</v>
      </c>
      <c r="E42" t="s">
        <v>2</v>
      </c>
      <c r="F42" t="s">
        <v>17</v>
      </c>
      <c r="G42">
        <v>3</v>
      </c>
      <c r="H42">
        <v>2</v>
      </c>
      <c r="I42">
        <f t="shared" si="0"/>
        <v>1</v>
      </c>
      <c r="J42">
        <v>0</v>
      </c>
      <c r="K42">
        <f t="shared" si="1"/>
        <v>1</v>
      </c>
      <c r="L42">
        <f t="shared" si="2"/>
        <v>0</v>
      </c>
    </row>
    <row r="43" spans="1:12" x14ac:dyDescent="0.25">
      <c r="A43" t="s">
        <v>36</v>
      </c>
      <c r="B43">
        <v>8</v>
      </c>
      <c r="C43" s="1">
        <v>44156</v>
      </c>
      <c r="D43" s="2">
        <v>0.64583333333333337</v>
      </c>
      <c r="E43" t="s">
        <v>4</v>
      </c>
      <c r="F43" t="s">
        <v>22</v>
      </c>
      <c r="G43">
        <v>1</v>
      </c>
      <c r="H43">
        <v>1</v>
      </c>
      <c r="I43">
        <f t="shared" si="0"/>
        <v>0</v>
      </c>
      <c r="J43">
        <v>0</v>
      </c>
      <c r="K43">
        <f t="shared" si="1"/>
        <v>1</v>
      </c>
      <c r="L43">
        <f t="shared" si="2"/>
        <v>0</v>
      </c>
    </row>
    <row r="44" spans="1:12" x14ac:dyDescent="0.25">
      <c r="A44" t="s">
        <v>36</v>
      </c>
      <c r="B44">
        <v>9</v>
      </c>
      <c r="C44" s="1">
        <v>44163</v>
      </c>
      <c r="D44" s="2">
        <v>0.64583333333333337</v>
      </c>
      <c r="E44" t="s">
        <v>2</v>
      </c>
      <c r="F44" t="s">
        <v>19</v>
      </c>
      <c r="G44">
        <v>3</v>
      </c>
      <c r="H44">
        <v>1</v>
      </c>
      <c r="I44">
        <f t="shared" si="0"/>
        <v>1</v>
      </c>
      <c r="J44">
        <v>0</v>
      </c>
      <c r="K44">
        <f t="shared" si="1"/>
        <v>1</v>
      </c>
      <c r="L44">
        <f t="shared" si="2"/>
        <v>0</v>
      </c>
    </row>
    <row r="45" spans="1:12" x14ac:dyDescent="0.25">
      <c r="A45" t="s">
        <v>36</v>
      </c>
      <c r="B45">
        <v>10</v>
      </c>
      <c r="C45" s="1">
        <v>44170</v>
      </c>
      <c r="D45" s="2">
        <v>0.77083333333333337</v>
      </c>
      <c r="E45" t="s">
        <v>4</v>
      </c>
      <c r="F45" t="s">
        <v>7</v>
      </c>
      <c r="G45">
        <v>3</v>
      </c>
      <c r="H45">
        <v>3</v>
      </c>
      <c r="I45">
        <f t="shared" si="0"/>
        <v>0</v>
      </c>
      <c r="J45">
        <v>0</v>
      </c>
      <c r="K45">
        <f t="shared" si="1"/>
        <v>1</v>
      </c>
      <c r="L45">
        <f t="shared" si="2"/>
        <v>0</v>
      </c>
    </row>
    <row r="46" spans="1:12" x14ac:dyDescent="0.25">
      <c r="A46" t="s">
        <v>36</v>
      </c>
      <c r="B46">
        <v>11</v>
      </c>
      <c r="C46" s="1">
        <v>44177</v>
      </c>
      <c r="D46" s="2">
        <v>0.77083333333333337</v>
      </c>
      <c r="E46" t="s">
        <v>2</v>
      </c>
      <c r="F46" t="s">
        <v>13</v>
      </c>
      <c r="G46">
        <v>1</v>
      </c>
      <c r="H46">
        <v>1</v>
      </c>
      <c r="I46">
        <f t="shared" si="0"/>
        <v>0</v>
      </c>
      <c r="J46">
        <v>0</v>
      </c>
      <c r="K46">
        <f t="shared" si="1"/>
        <v>1</v>
      </c>
      <c r="L46">
        <f t="shared" si="2"/>
        <v>0</v>
      </c>
    </row>
    <row r="47" spans="1:12" x14ac:dyDescent="0.25">
      <c r="A47" t="s">
        <v>36</v>
      </c>
      <c r="B47">
        <v>12</v>
      </c>
      <c r="C47" s="1">
        <v>44181</v>
      </c>
      <c r="D47" s="2">
        <v>0.85416666666666663</v>
      </c>
      <c r="E47" t="s">
        <v>4</v>
      </c>
      <c r="F47" t="s">
        <v>20</v>
      </c>
      <c r="G47">
        <v>2</v>
      </c>
      <c r="H47">
        <v>1</v>
      </c>
      <c r="I47">
        <f t="shared" si="0"/>
        <v>1</v>
      </c>
      <c r="J47">
        <v>0</v>
      </c>
      <c r="K47">
        <f t="shared" si="1"/>
        <v>1</v>
      </c>
      <c r="L47">
        <f t="shared" si="2"/>
        <v>0</v>
      </c>
    </row>
    <row r="48" spans="1:12" x14ac:dyDescent="0.25">
      <c r="A48" t="s">
        <v>36</v>
      </c>
      <c r="B48">
        <v>13</v>
      </c>
      <c r="C48" s="1">
        <v>44184</v>
      </c>
      <c r="D48" s="2">
        <v>0.77083333333333337</v>
      </c>
      <c r="E48" t="s">
        <v>2</v>
      </c>
      <c r="F48" t="s">
        <v>11</v>
      </c>
      <c r="G48">
        <v>2</v>
      </c>
      <c r="H48">
        <v>1</v>
      </c>
      <c r="I48">
        <f t="shared" si="0"/>
        <v>1</v>
      </c>
      <c r="J48">
        <v>0</v>
      </c>
      <c r="K48">
        <f t="shared" si="1"/>
        <v>1</v>
      </c>
      <c r="L48">
        <f t="shared" si="2"/>
        <v>0</v>
      </c>
    </row>
    <row r="49" spans="1:12" x14ac:dyDescent="0.25">
      <c r="A49" t="s">
        <v>36</v>
      </c>
      <c r="B49">
        <v>14</v>
      </c>
      <c r="C49" s="1">
        <v>44199</v>
      </c>
      <c r="D49" s="2">
        <v>0.75</v>
      </c>
      <c r="E49" t="s">
        <v>4</v>
      </c>
      <c r="F49" t="s">
        <v>18</v>
      </c>
      <c r="G49">
        <v>5</v>
      </c>
      <c r="H49">
        <v>2</v>
      </c>
      <c r="I49">
        <f t="shared" si="0"/>
        <v>1</v>
      </c>
      <c r="J49">
        <v>0</v>
      </c>
      <c r="K49">
        <f t="shared" si="1"/>
        <v>1</v>
      </c>
      <c r="L49">
        <f t="shared" si="2"/>
        <v>0</v>
      </c>
    </row>
    <row r="50" spans="1:12" x14ac:dyDescent="0.25">
      <c r="A50" t="s">
        <v>36</v>
      </c>
      <c r="B50">
        <v>15</v>
      </c>
      <c r="C50" s="1">
        <v>44204</v>
      </c>
      <c r="D50" s="2">
        <v>0.85416666666666663</v>
      </c>
      <c r="E50" t="s">
        <v>2</v>
      </c>
      <c r="F50" t="s">
        <v>3</v>
      </c>
      <c r="G50">
        <v>2</v>
      </c>
      <c r="H50">
        <v>3</v>
      </c>
      <c r="I50">
        <f t="shared" si="0"/>
        <v>0</v>
      </c>
      <c r="J50">
        <v>0</v>
      </c>
      <c r="K50">
        <f t="shared" si="1"/>
        <v>0</v>
      </c>
      <c r="L50">
        <f t="shared" si="2"/>
        <v>1</v>
      </c>
    </row>
    <row r="51" spans="1:12" x14ac:dyDescent="0.25">
      <c r="A51" t="s">
        <v>36</v>
      </c>
      <c r="B51">
        <v>16</v>
      </c>
      <c r="C51" s="1">
        <v>44213</v>
      </c>
      <c r="D51" s="2">
        <v>0.64583333333333337</v>
      </c>
      <c r="E51" t="s">
        <v>4</v>
      </c>
      <c r="F51" t="s">
        <v>14</v>
      </c>
      <c r="G51">
        <v>2</v>
      </c>
      <c r="H51">
        <v>1</v>
      </c>
      <c r="I51">
        <f t="shared" si="0"/>
        <v>1</v>
      </c>
      <c r="J51">
        <v>0</v>
      </c>
      <c r="K51">
        <f t="shared" si="1"/>
        <v>1</v>
      </c>
      <c r="L51">
        <f t="shared" si="2"/>
        <v>0</v>
      </c>
    </row>
    <row r="52" spans="1:12" x14ac:dyDescent="0.25">
      <c r="A52" t="s">
        <v>36</v>
      </c>
      <c r="B52">
        <v>17</v>
      </c>
      <c r="C52" s="1">
        <v>44216</v>
      </c>
      <c r="D52" s="2">
        <v>0.85416666666666663</v>
      </c>
      <c r="E52" t="s">
        <v>2</v>
      </c>
      <c r="F52" t="s">
        <v>15</v>
      </c>
      <c r="G52">
        <v>1</v>
      </c>
      <c r="H52">
        <v>0</v>
      </c>
      <c r="I52">
        <f t="shared" si="0"/>
        <v>1</v>
      </c>
      <c r="J52">
        <v>0</v>
      </c>
      <c r="K52">
        <f t="shared" si="1"/>
        <v>1</v>
      </c>
      <c r="L52">
        <f t="shared" si="2"/>
        <v>0</v>
      </c>
    </row>
    <row r="53" spans="1:12" x14ac:dyDescent="0.25">
      <c r="A53" t="s">
        <v>36</v>
      </c>
      <c r="B53">
        <v>18</v>
      </c>
      <c r="C53" s="1">
        <v>44220</v>
      </c>
      <c r="D53" s="2">
        <v>0.64583333333333337</v>
      </c>
      <c r="E53" t="s">
        <v>2</v>
      </c>
      <c r="F53" t="s">
        <v>21</v>
      </c>
      <c r="G53">
        <v>4</v>
      </c>
      <c r="H53">
        <v>0</v>
      </c>
      <c r="I53">
        <f t="shared" si="0"/>
        <v>1</v>
      </c>
      <c r="J53">
        <v>0</v>
      </c>
      <c r="K53">
        <f t="shared" si="1"/>
        <v>1</v>
      </c>
      <c r="L53">
        <f t="shared" si="2"/>
        <v>0</v>
      </c>
    </row>
    <row r="54" spans="1:12" x14ac:dyDescent="0.25">
      <c r="A54" t="s">
        <v>36</v>
      </c>
      <c r="B54">
        <v>19</v>
      </c>
      <c r="C54" s="1">
        <v>44226</v>
      </c>
      <c r="D54" s="2">
        <v>0.64583333333333337</v>
      </c>
      <c r="E54" t="s">
        <v>4</v>
      </c>
      <c r="F54" t="s">
        <v>12</v>
      </c>
      <c r="G54">
        <v>4</v>
      </c>
      <c r="H54">
        <v>1</v>
      </c>
      <c r="I54">
        <f t="shared" si="0"/>
        <v>1</v>
      </c>
      <c r="J54">
        <v>0</v>
      </c>
      <c r="K54">
        <f t="shared" si="1"/>
        <v>1</v>
      </c>
      <c r="L54">
        <f t="shared" si="2"/>
        <v>0</v>
      </c>
    </row>
    <row r="55" spans="1:12" x14ac:dyDescent="0.25">
      <c r="A55" t="s">
        <v>36</v>
      </c>
      <c r="B55">
        <v>20</v>
      </c>
      <c r="C55" s="1">
        <v>44232</v>
      </c>
      <c r="D55" s="2">
        <v>0.83333333333333337</v>
      </c>
      <c r="E55" t="s">
        <v>2</v>
      </c>
      <c r="F55" t="s">
        <v>6</v>
      </c>
      <c r="G55">
        <v>1</v>
      </c>
      <c r="H55">
        <v>0</v>
      </c>
      <c r="I55">
        <f t="shared" si="0"/>
        <v>1</v>
      </c>
      <c r="J55">
        <v>0</v>
      </c>
      <c r="K55">
        <f t="shared" si="1"/>
        <v>1</v>
      </c>
      <c r="L55">
        <f t="shared" si="2"/>
        <v>0</v>
      </c>
    </row>
    <row r="56" spans="1:12" x14ac:dyDescent="0.25">
      <c r="A56" t="s">
        <v>36</v>
      </c>
      <c r="B56">
        <v>21</v>
      </c>
      <c r="C56" s="1">
        <v>44242</v>
      </c>
      <c r="D56" s="2">
        <v>0.85416666666666663</v>
      </c>
      <c r="E56" t="s">
        <v>4</v>
      </c>
      <c r="F56" t="s">
        <v>16</v>
      </c>
      <c r="G56">
        <v>3</v>
      </c>
      <c r="H56">
        <v>3</v>
      </c>
      <c r="I56">
        <f t="shared" si="0"/>
        <v>0</v>
      </c>
      <c r="J56">
        <v>0</v>
      </c>
      <c r="K56">
        <f t="shared" si="1"/>
        <v>1</v>
      </c>
      <c r="L56">
        <f t="shared" si="2"/>
        <v>0</v>
      </c>
    </row>
    <row r="57" spans="1:12" x14ac:dyDescent="0.25">
      <c r="A57" t="s">
        <v>36</v>
      </c>
      <c r="B57">
        <v>22</v>
      </c>
      <c r="C57" s="1">
        <v>44247</v>
      </c>
      <c r="D57" s="2">
        <v>0.64583333333333337</v>
      </c>
      <c r="E57" t="s">
        <v>2</v>
      </c>
      <c r="F57" t="s">
        <v>10</v>
      </c>
      <c r="G57">
        <v>1</v>
      </c>
      <c r="H57">
        <v>2</v>
      </c>
      <c r="I57">
        <f t="shared" si="0"/>
        <v>0</v>
      </c>
      <c r="J57">
        <v>0</v>
      </c>
      <c r="K57">
        <f t="shared" si="1"/>
        <v>0</v>
      </c>
      <c r="L57">
        <f t="shared" si="2"/>
        <v>1</v>
      </c>
    </row>
    <row r="58" spans="1:12" x14ac:dyDescent="0.25">
      <c r="A58" t="s">
        <v>36</v>
      </c>
      <c r="B58">
        <v>23</v>
      </c>
      <c r="C58" s="1">
        <v>44254</v>
      </c>
      <c r="D58" s="2">
        <v>0.64583333333333337</v>
      </c>
      <c r="E58" t="s">
        <v>4</v>
      </c>
      <c r="F58" t="s">
        <v>5</v>
      </c>
      <c r="G58">
        <v>5</v>
      </c>
      <c r="H58">
        <v>1</v>
      </c>
      <c r="I58">
        <f t="shared" si="0"/>
        <v>1</v>
      </c>
      <c r="J58">
        <v>0</v>
      </c>
      <c r="K58">
        <f t="shared" si="1"/>
        <v>1</v>
      </c>
      <c r="L58">
        <f t="shared" si="2"/>
        <v>0</v>
      </c>
    </row>
    <row r="59" spans="1:12" x14ac:dyDescent="0.25">
      <c r="A59" t="s">
        <v>36</v>
      </c>
      <c r="B59">
        <v>24</v>
      </c>
      <c r="C59" s="1">
        <v>44261</v>
      </c>
      <c r="D59" s="2">
        <v>0.77083333333333337</v>
      </c>
      <c r="E59" t="s">
        <v>4</v>
      </c>
      <c r="F59" t="s">
        <v>17</v>
      </c>
      <c r="G59">
        <v>4</v>
      </c>
      <c r="H59">
        <v>2</v>
      </c>
      <c r="I59">
        <f t="shared" si="0"/>
        <v>1</v>
      </c>
      <c r="J59">
        <v>0</v>
      </c>
      <c r="K59">
        <f t="shared" si="1"/>
        <v>1</v>
      </c>
      <c r="L59">
        <f t="shared" si="2"/>
        <v>0</v>
      </c>
    </row>
    <row r="60" spans="1:12" x14ac:dyDescent="0.25">
      <c r="A60" t="s">
        <v>36</v>
      </c>
      <c r="B60">
        <v>25</v>
      </c>
      <c r="C60" s="1">
        <v>44268</v>
      </c>
      <c r="D60" s="2">
        <v>0.64583333333333337</v>
      </c>
      <c r="E60" t="s">
        <v>2</v>
      </c>
      <c r="F60" t="s">
        <v>22</v>
      </c>
      <c r="G60">
        <v>3</v>
      </c>
      <c r="H60">
        <v>1</v>
      </c>
      <c r="I60">
        <f t="shared" si="0"/>
        <v>1</v>
      </c>
      <c r="J60">
        <v>0</v>
      </c>
      <c r="K60">
        <f t="shared" si="1"/>
        <v>1</v>
      </c>
      <c r="L60">
        <f t="shared" si="2"/>
        <v>0</v>
      </c>
    </row>
    <row r="61" spans="1:12" x14ac:dyDescent="0.25">
      <c r="A61" t="s">
        <v>36</v>
      </c>
      <c r="B61">
        <v>26</v>
      </c>
      <c r="C61" s="1">
        <v>44275</v>
      </c>
      <c r="D61" s="2">
        <v>0.64583333333333337</v>
      </c>
      <c r="E61" t="s">
        <v>4</v>
      </c>
      <c r="F61" t="s">
        <v>19</v>
      </c>
      <c r="G61">
        <v>4</v>
      </c>
      <c r="H61">
        <v>0</v>
      </c>
      <c r="I61">
        <f t="shared" si="0"/>
        <v>1</v>
      </c>
      <c r="J61">
        <v>0</v>
      </c>
      <c r="K61">
        <f t="shared" si="1"/>
        <v>1</v>
      </c>
      <c r="L61">
        <f t="shared" si="2"/>
        <v>0</v>
      </c>
    </row>
    <row r="62" spans="1:12" x14ac:dyDescent="0.25">
      <c r="A62" t="s">
        <v>36</v>
      </c>
      <c r="B62">
        <v>27</v>
      </c>
      <c r="C62" s="1">
        <v>44289</v>
      </c>
      <c r="D62" s="2">
        <v>0.77083333333333337</v>
      </c>
      <c r="E62" t="s">
        <v>2</v>
      </c>
      <c r="F62" t="s">
        <v>7</v>
      </c>
      <c r="G62">
        <v>1</v>
      </c>
      <c r="H62">
        <v>0</v>
      </c>
      <c r="I62">
        <f t="shared" si="0"/>
        <v>1</v>
      </c>
      <c r="J62">
        <v>0</v>
      </c>
      <c r="K62">
        <f t="shared" si="1"/>
        <v>1</v>
      </c>
      <c r="L62">
        <f t="shared" si="2"/>
        <v>0</v>
      </c>
    </row>
    <row r="63" spans="1:12" x14ac:dyDescent="0.25">
      <c r="A63" t="s">
        <v>36</v>
      </c>
      <c r="B63">
        <v>28</v>
      </c>
      <c r="C63" s="1">
        <v>44296</v>
      </c>
      <c r="D63" s="2">
        <v>0.64583333333333337</v>
      </c>
      <c r="E63" t="s">
        <v>4</v>
      </c>
      <c r="F63" t="s">
        <v>13</v>
      </c>
      <c r="G63">
        <v>1</v>
      </c>
      <c r="H63">
        <v>1</v>
      </c>
      <c r="I63">
        <f t="shared" si="0"/>
        <v>0</v>
      </c>
      <c r="J63">
        <v>0</v>
      </c>
      <c r="K63">
        <f t="shared" si="1"/>
        <v>1</v>
      </c>
      <c r="L63">
        <f t="shared" si="2"/>
        <v>0</v>
      </c>
    </row>
    <row r="64" spans="1:12" x14ac:dyDescent="0.25">
      <c r="A64" t="s">
        <v>36</v>
      </c>
      <c r="B64">
        <v>29</v>
      </c>
      <c r="C64" s="1">
        <v>44303</v>
      </c>
      <c r="D64" s="2">
        <v>0.64583333333333337</v>
      </c>
      <c r="E64" t="s">
        <v>2</v>
      </c>
      <c r="F64" t="s">
        <v>20</v>
      </c>
      <c r="G64">
        <v>3</v>
      </c>
      <c r="H64">
        <v>2</v>
      </c>
      <c r="I64">
        <f t="shared" si="0"/>
        <v>1</v>
      </c>
      <c r="J64">
        <v>0</v>
      </c>
      <c r="K64">
        <f t="shared" si="1"/>
        <v>1</v>
      </c>
      <c r="L64">
        <f t="shared" si="2"/>
        <v>0</v>
      </c>
    </row>
    <row r="65" spans="1:12" x14ac:dyDescent="0.25">
      <c r="A65" t="s">
        <v>36</v>
      </c>
      <c r="B65">
        <v>30</v>
      </c>
      <c r="C65" s="1">
        <v>44306</v>
      </c>
      <c r="D65" s="2">
        <v>0.85416666666666663</v>
      </c>
      <c r="E65" t="s">
        <v>4</v>
      </c>
      <c r="F65" t="s">
        <v>11</v>
      </c>
      <c r="G65">
        <v>2</v>
      </c>
      <c r="H65">
        <v>0</v>
      </c>
      <c r="I65">
        <f t="shared" si="0"/>
        <v>1</v>
      </c>
      <c r="J65">
        <v>0</v>
      </c>
      <c r="K65">
        <f t="shared" si="1"/>
        <v>1</v>
      </c>
      <c r="L65">
        <f t="shared" si="2"/>
        <v>0</v>
      </c>
    </row>
    <row r="66" spans="1:12" x14ac:dyDescent="0.25">
      <c r="A66" t="s">
        <v>36</v>
      </c>
      <c r="B66">
        <v>31</v>
      </c>
      <c r="C66" s="1">
        <v>44310</v>
      </c>
      <c r="D66" s="2">
        <v>0.64583333333333337</v>
      </c>
      <c r="E66" t="s">
        <v>2</v>
      </c>
      <c r="F66" t="s">
        <v>18</v>
      </c>
      <c r="G66">
        <v>1</v>
      </c>
      <c r="H66">
        <v>2</v>
      </c>
      <c r="I66">
        <f t="shared" si="0"/>
        <v>0</v>
      </c>
      <c r="J66">
        <v>0</v>
      </c>
      <c r="K66">
        <f t="shared" si="1"/>
        <v>0</v>
      </c>
      <c r="L66">
        <f t="shared" si="2"/>
        <v>1</v>
      </c>
    </row>
    <row r="67" spans="1:12" x14ac:dyDescent="0.25">
      <c r="A67" s="3" t="s">
        <v>36</v>
      </c>
      <c r="B67" s="3">
        <v>32</v>
      </c>
      <c r="C67" s="4">
        <v>44324</v>
      </c>
      <c r="D67" s="5">
        <v>0.77083333333333337</v>
      </c>
      <c r="E67" s="3" t="s">
        <v>4</v>
      </c>
      <c r="F67" s="3" t="s">
        <v>3</v>
      </c>
      <c r="G67" s="3">
        <v>6</v>
      </c>
      <c r="H67" s="3">
        <v>0</v>
      </c>
      <c r="I67" s="3">
        <f t="shared" ref="I67:I130" si="3">IF(G67&gt;H67,1,0)</f>
        <v>1</v>
      </c>
      <c r="J67" s="3">
        <v>0</v>
      </c>
      <c r="K67">
        <f t="shared" ref="K67:K130" si="4">IF(G67&gt;=H67,1,0)</f>
        <v>1</v>
      </c>
      <c r="L67">
        <f t="shared" ref="L67:L130" si="5">IF(H67&gt;G67,1,0)</f>
        <v>0</v>
      </c>
    </row>
    <row r="68" spans="1:12" x14ac:dyDescent="0.25">
      <c r="A68" t="s">
        <v>36</v>
      </c>
      <c r="B68">
        <v>33</v>
      </c>
      <c r="C68" s="1">
        <v>44331</v>
      </c>
      <c r="D68" s="2">
        <v>0.64583333333333337</v>
      </c>
      <c r="E68" t="s">
        <v>2</v>
      </c>
      <c r="F68" t="s">
        <v>14</v>
      </c>
      <c r="G68">
        <v>2</v>
      </c>
      <c r="H68">
        <v>2</v>
      </c>
      <c r="I68">
        <f t="shared" si="3"/>
        <v>0</v>
      </c>
      <c r="J68">
        <v>1</v>
      </c>
      <c r="K68">
        <f t="shared" si="4"/>
        <v>1</v>
      </c>
      <c r="L68">
        <f t="shared" si="5"/>
        <v>0</v>
      </c>
    </row>
    <row r="69" spans="1:12" x14ac:dyDescent="0.25">
      <c r="A69" t="s">
        <v>36</v>
      </c>
      <c r="B69">
        <v>34</v>
      </c>
      <c r="C69" s="1">
        <v>44338</v>
      </c>
      <c r="D69" s="2">
        <v>0.64583333333333337</v>
      </c>
      <c r="E69" t="s">
        <v>4</v>
      </c>
      <c r="F69" t="s">
        <v>15</v>
      </c>
      <c r="G69">
        <v>5</v>
      </c>
      <c r="H69">
        <v>2</v>
      </c>
      <c r="I69">
        <f t="shared" si="3"/>
        <v>1</v>
      </c>
      <c r="J69">
        <v>1</v>
      </c>
      <c r="K69">
        <f t="shared" si="4"/>
        <v>1</v>
      </c>
      <c r="L69">
        <f t="shared" si="5"/>
        <v>0</v>
      </c>
    </row>
    <row r="70" spans="1:12" x14ac:dyDescent="0.25">
      <c r="A70" t="s">
        <v>37</v>
      </c>
      <c r="B70">
        <v>1</v>
      </c>
      <c r="C70" s="1">
        <v>43693</v>
      </c>
      <c r="D70" s="2">
        <v>0.85416666666666663</v>
      </c>
      <c r="E70" t="s">
        <v>4</v>
      </c>
      <c r="F70" t="s">
        <v>6</v>
      </c>
      <c r="G70">
        <v>2</v>
      </c>
      <c r="H70">
        <v>2</v>
      </c>
      <c r="I70">
        <f t="shared" si="3"/>
        <v>0</v>
      </c>
      <c r="J70">
        <v>0</v>
      </c>
      <c r="K70">
        <f t="shared" si="4"/>
        <v>1</v>
      </c>
      <c r="L70">
        <f t="shared" si="5"/>
        <v>0</v>
      </c>
    </row>
    <row r="71" spans="1:12" x14ac:dyDescent="0.25">
      <c r="A71" t="s">
        <v>37</v>
      </c>
      <c r="B71">
        <v>2</v>
      </c>
      <c r="C71" s="1">
        <v>43701</v>
      </c>
      <c r="D71" s="2">
        <v>0.77083333333333337</v>
      </c>
      <c r="E71" t="s">
        <v>2</v>
      </c>
      <c r="F71" t="s">
        <v>21</v>
      </c>
      <c r="G71">
        <v>3</v>
      </c>
      <c r="H71">
        <v>0</v>
      </c>
      <c r="I71">
        <f t="shared" si="3"/>
        <v>1</v>
      </c>
      <c r="J71">
        <v>0</v>
      </c>
      <c r="K71">
        <f t="shared" si="4"/>
        <v>1</v>
      </c>
      <c r="L71">
        <f t="shared" si="5"/>
        <v>0</v>
      </c>
    </row>
    <row r="72" spans="1:12" x14ac:dyDescent="0.25">
      <c r="A72" t="s">
        <v>37</v>
      </c>
      <c r="B72">
        <v>3</v>
      </c>
      <c r="C72" s="1">
        <v>43708</v>
      </c>
      <c r="D72" s="2">
        <v>0.64583333333333337</v>
      </c>
      <c r="E72" t="s">
        <v>4</v>
      </c>
      <c r="F72" t="s">
        <v>18</v>
      </c>
      <c r="G72">
        <v>6</v>
      </c>
      <c r="H72">
        <v>1</v>
      </c>
      <c r="I72">
        <f t="shared" si="3"/>
        <v>1</v>
      </c>
      <c r="J72">
        <v>0</v>
      </c>
      <c r="K72">
        <f t="shared" si="4"/>
        <v>1</v>
      </c>
      <c r="L72">
        <f t="shared" si="5"/>
        <v>0</v>
      </c>
    </row>
    <row r="73" spans="1:12" x14ac:dyDescent="0.25">
      <c r="A73" t="s">
        <v>37</v>
      </c>
      <c r="B73">
        <v>4</v>
      </c>
      <c r="C73" s="1">
        <v>43722</v>
      </c>
      <c r="D73" s="2">
        <v>0.77083333333333337</v>
      </c>
      <c r="E73" t="s">
        <v>2</v>
      </c>
      <c r="F73" t="s">
        <v>7</v>
      </c>
      <c r="G73">
        <v>1</v>
      </c>
      <c r="H73">
        <v>1</v>
      </c>
      <c r="I73">
        <f t="shared" si="3"/>
        <v>0</v>
      </c>
      <c r="J73">
        <v>0</v>
      </c>
      <c r="K73">
        <f t="shared" si="4"/>
        <v>1</v>
      </c>
      <c r="L73">
        <f t="shared" si="5"/>
        <v>0</v>
      </c>
    </row>
    <row r="74" spans="1:12" x14ac:dyDescent="0.25">
      <c r="A74" t="s">
        <v>37</v>
      </c>
      <c r="B74">
        <v>5</v>
      </c>
      <c r="C74" s="1">
        <v>43729</v>
      </c>
      <c r="D74" s="2">
        <v>0.64583333333333337</v>
      </c>
      <c r="E74" t="s">
        <v>4</v>
      </c>
      <c r="F74" t="s">
        <v>5</v>
      </c>
      <c r="G74">
        <v>4</v>
      </c>
      <c r="H74">
        <v>0</v>
      </c>
      <c r="I74">
        <f t="shared" si="3"/>
        <v>1</v>
      </c>
      <c r="J74">
        <v>0</v>
      </c>
      <c r="K74">
        <f t="shared" si="4"/>
        <v>1</v>
      </c>
      <c r="L74">
        <f t="shared" si="5"/>
        <v>0</v>
      </c>
    </row>
    <row r="75" spans="1:12" x14ac:dyDescent="0.25">
      <c r="A75" t="s">
        <v>37</v>
      </c>
      <c r="B75">
        <v>6</v>
      </c>
      <c r="C75" s="1">
        <v>43736</v>
      </c>
      <c r="D75" s="2">
        <v>0.64583333333333337</v>
      </c>
      <c r="E75" t="s">
        <v>2</v>
      </c>
      <c r="F75" t="s">
        <v>23</v>
      </c>
      <c r="G75">
        <v>3</v>
      </c>
      <c r="H75">
        <v>2</v>
      </c>
      <c r="I75">
        <f t="shared" si="3"/>
        <v>1</v>
      </c>
      <c r="J75">
        <v>0</v>
      </c>
      <c r="K75">
        <f t="shared" si="4"/>
        <v>1</v>
      </c>
      <c r="L75">
        <f t="shared" si="5"/>
        <v>0</v>
      </c>
    </row>
    <row r="76" spans="1:12" x14ac:dyDescent="0.25">
      <c r="A76" t="s">
        <v>37</v>
      </c>
      <c r="B76">
        <v>7</v>
      </c>
      <c r="C76" s="1">
        <v>43743</v>
      </c>
      <c r="D76" s="2">
        <v>0.64583333333333337</v>
      </c>
      <c r="E76" t="s">
        <v>4</v>
      </c>
      <c r="F76" t="s">
        <v>12</v>
      </c>
      <c r="G76">
        <v>1</v>
      </c>
      <c r="H76">
        <v>2</v>
      </c>
      <c r="I76">
        <f t="shared" si="3"/>
        <v>0</v>
      </c>
      <c r="J76">
        <v>0</v>
      </c>
      <c r="K76">
        <f t="shared" si="4"/>
        <v>0</v>
      </c>
      <c r="L76">
        <f t="shared" si="5"/>
        <v>1</v>
      </c>
    </row>
    <row r="77" spans="1:12" x14ac:dyDescent="0.25">
      <c r="A77" t="s">
        <v>37</v>
      </c>
      <c r="B77">
        <v>8</v>
      </c>
      <c r="C77" s="1">
        <v>43757</v>
      </c>
      <c r="D77" s="2">
        <v>0.64583333333333337</v>
      </c>
      <c r="E77" t="s">
        <v>2</v>
      </c>
      <c r="F77" t="s">
        <v>15</v>
      </c>
      <c r="G77">
        <v>2</v>
      </c>
      <c r="H77">
        <v>2</v>
      </c>
      <c r="I77">
        <f t="shared" si="3"/>
        <v>0</v>
      </c>
      <c r="J77">
        <v>0</v>
      </c>
      <c r="K77">
        <f t="shared" si="4"/>
        <v>1</v>
      </c>
      <c r="L77">
        <f t="shared" si="5"/>
        <v>0</v>
      </c>
    </row>
    <row r="78" spans="1:12" x14ac:dyDescent="0.25">
      <c r="A78" t="s">
        <v>37</v>
      </c>
      <c r="B78">
        <v>9</v>
      </c>
      <c r="C78" s="1">
        <v>43764</v>
      </c>
      <c r="D78" s="2">
        <v>0.64583333333333337</v>
      </c>
      <c r="E78" t="s">
        <v>4</v>
      </c>
      <c r="F78" t="s">
        <v>13</v>
      </c>
      <c r="G78">
        <v>2</v>
      </c>
      <c r="H78">
        <v>1</v>
      </c>
      <c r="I78">
        <f t="shared" si="3"/>
        <v>1</v>
      </c>
      <c r="J78">
        <v>0</v>
      </c>
      <c r="K78">
        <f t="shared" si="4"/>
        <v>1</v>
      </c>
      <c r="L78">
        <f t="shared" si="5"/>
        <v>0</v>
      </c>
    </row>
    <row r="79" spans="1:12" x14ac:dyDescent="0.25">
      <c r="A79" t="s">
        <v>37</v>
      </c>
      <c r="B79">
        <v>10</v>
      </c>
      <c r="C79" s="1">
        <v>43771</v>
      </c>
      <c r="D79" s="2">
        <v>0.64583333333333337</v>
      </c>
      <c r="E79" t="s">
        <v>2</v>
      </c>
      <c r="F79" t="s">
        <v>10</v>
      </c>
      <c r="G79">
        <v>1</v>
      </c>
      <c r="H79">
        <v>5</v>
      </c>
      <c r="I79">
        <f t="shared" si="3"/>
        <v>0</v>
      </c>
      <c r="J79">
        <v>0</v>
      </c>
      <c r="K79">
        <f t="shared" si="4"/>
        <v>0</v>
      </c>
      <c r="L79">
        <f t="shared" si="5"/>
        <v>1</v>
      </c>
    </row>
    <row r="80" spans="1:12" x14ac:dyDescent="0.25">
      <c r="A80" t="s">
        <v>37</v>
      </c>
      <c r="B80">
        <v>11</v>
      </c>
      <c r="C80" s="1">
        <v>43778</v>
      </c>
      <c r="D80" s="2">
        <v>0.77083333333333337</v>
      </c>
      <c r="E80" t="s">
        <v>4</v>
      </c>
      <c r="F80" t="s">
        <v>17</v>
      </c>
      <c r="G80">
        <v>4</v>
      </c>
      <c r="H80">
        <v>0</v>
      </c>
      <c r="I80">
        <f t="shared" si="3"/>
        <v>1</v>
      </c>
      <c r="J80">
        <v>0</v>
      </c>
      <c r="K80">
        <f t="shared" si="4"/>
        <v>1</v>
      </c>
      <c r="L80">
        <f t="shared" si="5"/>
        <v>0</v>
      </c>
    </row>
    <row r="81" spans="1:12" x14ac:dyDescent="0.25">
      <c r="A81" t="s">
        <v>37</v>
      </c>
      <c r="B81">
        <v>12</v>
      </c>
      <c r="C81" s="1">
        <v>43792</v>
      </c>
      <c r="D81" s="2">
        <v>0.64583333333333337</v>
      </c>
      <c r="E81" t="s">
        <v>2</v>
      </c>
      <c r="F81" t="s">
        <v>24</v>
      </c>
      <c r="G81">
        <v>4</v>
      </c>
      <c r="H81">
        <v>0</v>
      </c>
      <c r="I81">
        <f t="shared" si="3"/>
        <v>1</v>
      </c>
      <c r="J81">
        <v>0</v>
      </c>
      <c r="K81">
        <f t="shared" si="4"/>
        <v>1</v>
      </c>
      <c r="L81">
        <f t="shared" si="5"/>
        <v>0</v>
      </c>
    </row>
    <row r="82" spans="1:12" x14ac:dyDescent="0.25">
      <c r="A82" t="s">
        <v>37</v>
      </c>
      <c r="B82">
        <v>13</v>
      </c>
      <c r="C82" s="1">
        <v>43799</v>
      </c>
      <c r="D82" s="2">
        <v>0.77083333333333337</v>
      </c>
      <c r="E82" t="s">
        <v>4</v>
      </c>
      <c r="F82" t="s">
        <v>11</v>
      </c>
      <c r="G82">
        <v>1</v>
      </c>
      <c r="H82">
        <v>2</v>
      </c>
      <c r="I82">
        <f t="shared" si="3"/>
        <v>0</v>
      </c>
      <c r="J82">
        <v>0</v>
      </c>
      <c r="K82">
        <f t="shared" si="4"/>
        <v>0</v>
      </c>
      <c r="L82">
        <f t="shared" si="5"/>
        <v>1</v>
      </c>
    </row>
    <row r="83" spans="1:12" x14ac:dyDescent="0.25">
      <c r="A83" t="s">
        <v>37</v>
      </c>
      <c r="B83">
        <v>14</v>
      </c>
      <c r="C83" s="1">
        <v>43806</v>
      </c>
      <c r="D83" s="2">
        <v>0.64583333333333337</v>
      </c>
      <c r="E83" t="s">
        <v>2</v>
      </c>
      <c r="F83" t="s">
        <v>3</v>
      </c>
      <c r="G83">
        <v>1</v>
      </c>
      <c r="H83">
        <v>2</v>
      </c>
      <c r="I83">
        <f t="shared" si="3"/>
        <v>0</v>
      </c>
      <c r="J83">
        <v>0</v>
      </c>
      <c r="K83">
        <f t="shared" si="4"/>
        <v>0</v>
      </c>
      <c r="L83">
        <f t="shared" si="5"/>
        <v>1</v>
      </c>
    </row>
    <row r="84" spans="1:12" x14ac:dyDescent="0.25">
      <c r="A84" t="s">
        <v>37</v>
      </c>
      <c r="B84">
        <v>15</v>
      </c>
      <c r="C84" s="1">
        <v>43813</v>
      </c>
      <c r="D84" s="2">
        <v>0.64583333333333337</v>
      </c>
      <c r="E84" t="s">
        <v>4</v>
      </c>
      <c r="F84" t="s">
        <v>22</v>
      </c>
      <c r="G84">
        <v>6</v>
      </c>
      <c r="H84">
        <v>1</v>
      </c>
      <c r="I84">
        <f t="shared" si="3"/>
        <v>1</v>
      </c>
      <c r="J84">
        <v>0</v>
      </c>
      <c r="K84">
        <f t="shared" si="4"/>
        <v>1</v>
      </c>
      <c r="L84">
        <f t="shared" si="5"/>
        <v>0</v>
      </c>
    </row>
    <row r="85" spans="1:12" x14ac:dyDescent="0.25">
      <c r="A85" t="s">
        <v>37</v>
      </c>
      <c r="B85">
        <v>16</v>
      </c>
      <c r="C85" s="1">
        <v>43817</v>
      </c>
      <c r="D85" s="2">
        <v>0.85416666666666663</v>
      </c>
      <c r="E85" t="s">
        <v>2</v>
      </c>
      <c r="F85" t="s">
        <v>14</v>
      </c>
      <c r="G85">
        <v>3</v>
      </c>
      <c r="H85">
        <v>1</v>
      </c>
      <c r="I85">
        <f t="shared" si="3"/>
        <v>1</v>
      </c>
      <c r="J85">
        <v>0</v>
      </c>
      <c r="K85">
        <f t="shared" si="4"/>
        <v>1</v>
      </c>
      <c r="L85">
        <f t="shared" si="5"/>
        <v>0</v>
      </c>
    </row>
    <row r="86" spans="1:12" x14ac:dyDescent="0.25">
      <c r="A86" t="s">
        <v>37</v>
      </c>
      <c r="B86">
        <v>17</v>
      </c>
      <c r="C86" s="1">
        <v>43820</v>
      </c>
      <c r="D86" s="2">
        <v>0.64583333333333337</v>
      </c>
      <c r="E86" t="s">
        <v>4</v>
      </c>
      <c r="F86" t="s">
        <v>20</v>
      </c>
      <c r="G86">
        <v>2</v>
      </c>
      <c r="H86">
        <v>0</v>
      </c>
      <c r="I86">
        <f t="shared" si="3"/>
        <v>1</v>
      </c>
      <c r="J86">
        <v>0</v>
      </c>
      <c r="K86">
        <f t="shared" si="4"/>
        <v>1</v>
      </c>
      <c r="L86">
        <f t="shared" si="5"/>
        <v>0</v>
      </c>
    </row>
    <row r="87" spans="1:12" x14ac:dyDescent="0.25">
      <c r="A87" t="s">
        <v>37</v>
      </c>
      <c r="B87">
        <v>18</v>
      </c>
      <c r="C87" s="1">
        <v>43849</v>
      </c>
      <c r="D87" s="2">
        <v>0.64583333333333337</v>
      </c>
      <c r="E87" t="s">
        <v>2</v>
      </c>
      <c r="F87" t="s">
        <v>6</v>
      </c>
      <c r="G87">
        <v>4</v>
      </c>
      <c r="H87">
        <v>0</v>
      </c>
      <c r="I87">
        <f t="shared" si="3"/>
        <v>1</v>
      </c>
      <c r="J87">
        <v>0</v>
      </c>
      <c r="K87">
        <f t="shared" si="4"/>
        <v>1</v>
      </c>
      <c r="L87">
        <f t="shared" si="5"/>
        <v>0</v>
      </c>
    </row>
    <row r="88" spans="1:12" x14ac:dyDescent="0.25">
      <c r="A88" t="s">
        <v>37</v>
      </c>
      <c r="B88">
        <v>19</v>
      </c>
      <c r="C88" s="1">
        <v>43855</v>
      </c>
      <c r="D88" s="2">
        <v>0.77083333333333337</v>
      </c>
      <c r="E88" t="s">
        <v>4</v>
      </c>
      <c r="F88" t="s">
        <v>21</v>
      </c>
      <c r="G88">
        <v>5</v>
      </c>
      <c r="H88">
        <v>0</v>
      </c>
      <c r="I88">
        <f t="shared" si="3"/>
        <v>1</v>
      </c>
      <c r="J88">
        <v>0</v>
      </c>
      <c r="K88">
        <f t="shared" si="4"/>
        <v>1</v>
      </c>
      <c r="L88">
        <f t="shared" si="5"/>
        <v>0</v>
      </c>
    </row>
    <row r="89" spans="1:12" x14ac:dyDescent="0.25">
      <c r="A89" t="s">
        <v>37</v>
      </c>
      <c r="B89">
        <v>20</v>
      </c>
      <c r="C89" s="1">
        <v>43862</v>
      </c>
      <c r="D89" s="2">
        <v>0.64583333333333337</v>
      </c>
      <c r="E89" t="s">
        <v>2</v>
      </c>
      <c r="F89" t="s">
        <v>18</v>
      </c>
      <c r="G89">
        <v>3</v>
      </c>
      <c r="H89">
        <v>1</v>
      </c>
      <c r="I89">
        <f t="shared" si="3"/>
        <v>1</v>
      </c>
      <c r="J89">
        <v>0</v>
      </c>
      <c r="K89">
        <f t="shared" si="4"/>
        <v>1</v>
      </c>
      <c r="L89">
        <f t="shared" si="5"/>
        <v>0</v>
      </c>
    </row>
    <row r="90" spans="1:12" x14ac:dyDescent="0.25">
      <c r="A90" t="s">
        <v>37</v>
      </c>
      <c r="B90">
        <v>21</v>
      </c>
      <c r="C90" s="1">
        <v>43870</v>
      </c>
      <c r="D90" s="2">
        <v>0.75</v>
      </c>
      <c r="E90" t="s">
        <v>4</v>
      </c>
      <c r="F90" t="s">
        <v>7</v>
      </c>
      <c r="G90">
        <v>0</v>
      </c>
      <c r="H90">
        <v>0</v>
      </c>
      <c r="I90">
        <f t="shared" si="3"/>
        <v>0</v>
      </c>
      <c r="J90">
        <v>0</v>
      </c>
      <c r="K90">
        <f t="shared" si="4"/>
        <v>1</v>
      </c>
      <c r="L90">
        <f t="shared" si="5"/>
        <v>0</v>
      </c>
    </row>
    <row r="91" spans="1:12" x14ac:dyDescent="0.25">
      <c r="A91" t="s">
        <v>37</v>
      </c>
      <c r="B91">
        <v>22</v>
      </c>
      <c r="C91" s="1">
        <v>43877</v>
      </c>
      <c r="D91" s="2">
        <v>0.64583333333333337</v>
      </c>
      <c r="E91" t="s">
        <v>2</v>
      </c>
      <c r="F91" t="s">
        <v>5</v>
      </c>
      <c r="G91">
        <v>4</v>
      </c>
      <c r="H91">
        <v>1</v>
      </c>
      <c r="I91">
        <f t="shared" si="3"/>
        <v>1</v>
      </c>
      <c r="J91">
        <v>0</v>
      </c>
      <c r="K91">
        <f t="shared" si="4"/>
        <v>1</v>
      </c>
      <c r="L91">
        <f t="shared" si="5"/>
        <v>0</v>
      </c>
    </row>
    <row r="92" spans="1:12" x14ac:dyDescent="0.25">
      <c r="A92" t="s">
        <v>37</v>
      </c>
      <c r="B92">
        <v>23</v>
      </c>
      <c r="C92" s="1">
        <v>43882</v>
      </c>
      <c r="D92" s="2">
        <v>0.85416666666666663</v>
      </c>
      <c r="E92" t="s">
        <v>4</v>
      </c>
      <c r="F92" t="s">
        <v>23</v>
      </c>
      <c r="G92">
        <v>3</v>
      </c>
      <c r="H92">
        <v>2</v>
      </c>
      <c r="I92">
        <f t="shared" si="3"/>
        <v>1</v>
      </c>
      <c r="J92">
        <v>0</v>
      </c>
      <c r="K92">
        <f t="shared" si="4"/>
        <v>1</v>
      </c>
      <c r="L92">
        <f t="shared" si="5"/>
        <v>0</v>
      </c>
    </row>
    <row r="93" spans="1:12" x14ac:dyDescent="0.25">
      <c r="A93" t="s">
        <v>37</v>
      </c>
      <c r="B93">
        <v>24</v>
      </c>
      <c r="C93" s="1">
        <v>43890</v>
      </c>
      <c r="D93" s="2">
        <v>0.64583333333333337</v>
      </c>
      <c r="E93" t="s">
        <v>2</v>
      </c>
      <c r="F93" t="s">
        <v>12</v>
      </c>
      <c r="G93">
        <v>6</v>
      </c>
      <c r="H93">
        <v>0</v>
      </c>
      <c r="I93">
        <f t="shared" si="3"/>
        <v>1</v>
      </c>
      <c r="J93">
        <v>0</v>
      </c>
      <c r="K93">
        <f t="shared" si="4"/>
        <v>1</v>
      </c>
      <c r="L93">
        <f t="shared" si="5"/>
        <v>0</v>
      </c>
    </row>
    <row r="94" spans="1:12" x14ac:dyDescent="0.25">
      <c r="A94" t="s">
        <v>37</v>
      </c>
      <c r="B94">
        <v>25</v>
      </c>
      <c r="C94" s="1">
        <v>43898</v>
      </c>
      <c r="D94" s="2">
        <v>0.64583333333333337</v>
      </c>
      <c r="E94" t="s">
        <v>4</v>
      </c>
      <c r="F94" t="s">
        <v>15</v>
      </c>
      <c r="G94">
        <v>2</v>
      </c>
      <c r="H94">
        <v>0</v>
      </c>
      <c r="I94">
        <f t="shared" si="3"/>
        <v>1</v>
      </c>
      <c r="J94">
        <v>0</v>
      </c>
      <c r="K94">
        <f t="shared" si="4"/>
        <v>1</v>
      </c>
      <c r="L94">
        <f t="shared" si="5"/>
        <v>0</v>
      </c>
    </row>
    <row r="95" spans="1:12" x14ac:dyDescent="0.25">
      <c r="A95" t="s">
        <v>37</v>
      </c>
      <c r="B95">
        <v>26</v>
      </c>
      <c r="C95" s="1">
        <v>43968</v>
      </c>
      <c r="D95" s="2">
        <v>0.75</v>
      </c>
      <c r="E95" t="s">
        <v>2</v>
      </c>
      <c r="F95" t="s">
        <v>13</v>
      </c>
      <c r="G95">
        <v>2</v>
      </c>
      <c r="H95">
        <v>0</v>
      </c>
      <c r="I95">
        <f t="shared" si="3"/>
        <v>1</v>
      </c>
      <c r="J95">
        <v>0</v>
      </c>
      <c r="K95">
        <f t="shared" si="4"/>
        <v>1</v>
      </c>
      <c r="L95">
        <f t="shared" si="5"/>
        <v>0</v>
      </c>
    </row>
    <row r="96" spans="1:12" x14ac:dyDescent="0.25">
      <c r="A96" t="s">
        <v>37</v>
      </c>
      <c r="B96">
        <v>27</v>
      </c>
      <c r="C96" s="1">
        <v>43974</v>
      </c>
      <c r="D96" s="2">
        <v>0.77083333333333337</v>
      </c>
      <c r="E96" t="s">
        <v>4</v>
      </c>
      <c r="F96" t="s">
        <v>10</v>
      </c>
      <c r="G96">
        <v>5</v>
      </c>
      <c r="H96">
        <v>2</v>
      </c>
      <c r="I96">
        <f t="shared" si="3"/>
        <v>1</v>
      </c>
      <c r="J96">
        <v>0</v>
      </c>
      <c r="K96">
        <f t="shared" si="4"/>
        <v>1</v>
      </c>
      <c r="L96">
        <f t="shared" si="5"/>
        <v>0</v>
      </c>
    </row>
    <row r="97" spans="1:12" x14ac:dyDescent="0.25">
      <c r="A97" t="s">
        <v>37</v>
      </c>
      <c r="B97">
        <v>28</v>
      </c>
      <c r="C97" s="1">
        <v>43977</v>
      </c>
      <c r="D97" s="2">
        <v>0.77083333333333337</v>
      </c>
      <c r="E97" t="s">
        <v>2</v>
      </c>
      <c r="F97" t="s">
        <v>17</v>
      </c>
      <c r="G97">
        <v>1</v>
      </c>
      <c r="H97">
        <v>0</v>
      </c>
      <c r="I97">
        <f t="shared" si="3"/>
        <v>1</v>
      </c>
      <c r="J97">
        <v>0</v>
      </c>
      <c r="K97">
        <f t="shared" si="4"/>
        <v>1</v>
      </c>
      <c r="L97">
        <f t="shared" si="5"/>
        <v>0</v>
      </c>
    </row>
    <row r="98" spans="1:12" x14ac:dyDescent="0.25">
      <c r="A98" t="s">
        <v>37</v>
      </c>
      <c r="B98">
        <v>29</v>
      </c>
      <c r="C98" s="1">
        <v>43981</v>
      </c>
      <c r="D98" s="2">
        <v>0.77083333333333337</v>
      </c>
      <c r="E98" t="s">
        <v>4</v>
      </c>
      <c r="F98" t="s">
        <v>24</v>
      </c>
      <c r="G98">
        <v>5</v>
      </c>
      <c r="H98">
        <v>0</v>
      </c>
      <c r="I98">
        <f t="shared" si="3"/>
        <v>1</v>
      </c>
      <c r="J98">
        <v>0</v>
      </c>
      <c r="K98">
        <f t="shared" si="4"/>
        <v>1</v>
      </c>
      <c r="L98">
        <f t="shared" si="5"/>
        <v>0</v>
      </c>
    </row>
    <row r="99" spans="1:12" x14ac:dyDescent="0.25">
      <c r="A99" t="s">
        <v>37</v>
      </c>
      <c r="B99">
        <v>30</v>
      </c>
      <c r="C99" s="1">
        <v>43988</v>
      </c>
      <c r="D99" s="2">
        <v>0.64583333333333337</v>
      </c>
      <c r="E99" t="s">
        <v>2</v>
      </c>
      <c r="F99" t="s">
        <v>11</v>
      </c>
      <c r="G99">
        <v>4</v>
      </c>
      <c r="H99">
        <v>2</v>
      </c>
      <c r="I99">
        <f t="shared" si="3"/>
        <v>1</v>
      </c>
      <c r="J99">
        <v>0</v>
      </c>
      <c r="K99">
        <f t="shared" si="4"/>
        <v>1</v>
      </c>
      <c r="L99">
        <f t="shared" si="5"/>
        <v>0</v>
      </c>
    </row>
    <row r="100" spans="1:12" x14ac:dyDescent="0.25">
      <c r="A100" t="s">
        <v>37</v>
      </c>
      <c r="B100">
        <v>31</v>
      </c>
      <c r="C100" s="1">
        <v>43995</v>
      </c>
      <c r="D100" s="2">
        <v>0.77083333333333337</v>
      </c>
      <c r="E100" t="s">
        <v>4</v>
      </c>
      <c r="F100" t="s">
        <v>3</v>
      </c>
      <c r="G100">
        <v>2</v>
      </c>
      <c r="H100">
        <v>1</v>
      </c>
      <c r="I100">
        <f t="shared" si="3"/>
        <v>1</v>
      </c>
      <c r="J100">
        <v>0</v>
      </c>
      <c r="K100">
        <f t="shared" si="4"/>
        <v>1</v>
      </c>
      <c r="L100">
        <f t="shared" si="5"/>
        <v>0</v>
      </c>
    </row>
    <row r="101" spans="1:12" x14ac:dyDescent="0.25">
      <c r="A101" s="3" t="s">
        <v>37</v>
      </c>
      <c r="B101" s="3">
        <v>32</v>
      </c>
      <c r="C101" s="4">
        <v>43998</v>
      </c>
      <c r="D101" s="5">
        <v>0.85416666666666663</v>
      </c>
      <c r="E101" s="3" t="s">
        <v>2</v>
      </c>
      <c r="F101" s="3" t="s">
        <v>22</v>
      </c>
      <c r="G101" s="3">
        <v>1</v>
      </c>
      <c r="H101" s="3">
        <v>0</v>
      </c>
      <c r="I101" s="3">
        <f t="shared" si="3"/>
        <v>1</v>
      </c>
      <c r="J101" s="3">
        <v>0</v>
      </c>
      <c r="K101">
        <f t="shared" si="4"/>
        <v>1</v>
      </c>
      <c r="L101">
        <f t="shared" si="5"/>
        <v>0</v>
      </c>
    </row>
    <row r="102" spans="1:12" x14ac:dyDescent="0.25">
      <c r="A102" t="s">
        <v>37</v>
      </c>
      <c r="B102">
        <v>33</v>
      </c>
      <c r="C102" s="1">
        <v>44002</v>
      </c>
      <c r="D102" s="2">
        <v>0.64583333333333337</v>
      </c>
      <c r="E102" t="s">
        <v>4</v>
      </c>
      <c r="F102" t="s">
        <v>14</v>
      </c>
      <c r="G102">
        <v>3</v>
      </c>
      <c r="H102">
        <v>1</v>
      </c>
      <c r="I102">
        <f t="shared" si="3"/>
        <v>1</v>
      </c>
      <c r="J102">
        <v>1</v>
      </c>
      <c r="K102">
        <f t="shared" si="4"/>
        <v>1</v>
      </c>
      <c r="L102">
        <f t="shared" si="5"/>
        <v>0</v>
      </c>
    </row>
    <row r="103" spans="1:12" x14ac:dyDescent="0.25">
      <c r="A103" t="s">
        <v>37</v>
      </c>
      <c r="B103">
        <v>34</v>
      </c>
      <c r="C103" s="1">
        <v>44009</v>
      </c>
      <c r="D103" s="2">
        <v>0.64583333333333337</v>
      </c>
      <c r="E103" t="s">
        <v>2</v>
      </c>
      <c r="F103" t="s">
        <v>20</v>
      </c>
      <c r="G103">
        <v>4</v>
      </c>
      <c r="H103">
        <v>0</v>
      </c>
      <c r="I103">
        <f t="shared" si="3"/>
        <v>1</v>
      </c>
      <c r="J103">
        <v>1</v>
      </c>
      <c r="K103">
        <f t="shared" si="4"/>
        <v>1</v>
      </c>
      <c r="L103">
        <f t="shared" si="5"/>
        <v>0</v>
      </c>
    </row>
    <row r="104" spans="1:12" x14ac:dyDescent="0.25">
      <c r="A104" t="s">
        <v>38</v>
      </c>
      <c r="B104">
        <v>1</v>
      </c>
      <c r="C104" s="1">
        <v>43336</v>
      </c>
      <c r="D104" s="2">
        <v>0.85416666666666663</v>
      </c>
      <c r="E104" t="s">
        <v>4</v>
      </c>
      <c r="F104" t="s">
        <v>12</v>
      </c>
      <c r="G104">
        <v>3</v>
      </c>
      <c r="H104">
        <v>1</v>
      </c>
      <c r="I104">
        <f t="shared" si="3"/>
        <v>1</v>
      </c>
      <c r="J104">
        <v>0</v>
      </c>
      <c r="K104">
        <f t="shared" si="4"/>
        <v>1</v>
      </c>
      <c r="L104">
        <f t="shared" si="5"/>
        <v>0</v>
      </c>
    </row>
    <row r="105" spans="1:12" x14ac:dyDescent="0.25">
      <c r="A105" t="s">
        <v>38</v>
      </c>
      <c r="B105">
        <v>2</v>
      </c>
      <c r="C105" s="1">
        <v>43344</v>
      </c>
      <c r="D105" s="2">
        <v>0.77083333333333337</v>
      </c>
      <c r="E105" t="s">
        <v>2</v>
      </c>
      <c r="F105" t="s">
        <v>19</v>
      </c>
      <c r="G105">
        <v>3</v>
      </c>
      <c r="H105">
        <v>0</v>
      </c>
      <c r="I105">
        <f t="shared" si="3"/>
        <v>1</v>
      </c>
      <c r="J105">
        <v>0</v>
      </c>
      <c r="K105">
        <f t="shared" si="4"/>
        <v>1</v>
      </c>
      <c r="L105">
        <f t="shared" si="5"/>
        <v>0</v>
      </c>
    </row>
    <row r="106" spans="1:12" x14ac:dyDescent="0.25">
      <c r="A106" t="s">
        <v>38</v>
      </c>
      <c r="B106">
        <v>3</v>
      </c>
      <c r="C106" s="1">
        <v>43358</v>
      </c>
      <c r="D106" s="2">
        <v>0.64583333333333337</v>
      </c>
      <c r="E106" t="s">
        <v>4</v>
      </c>
      <c r="F106" t="s">
        <v>11</v>
      </c>
      <c r="G106">
        <v>3</v>
      </c>
      <c r="H106">
        <v>1</v>
      </c>
      <c r="I106">
        <f t="shared" si="3"/>
        <v>1</v>
      </c>
      <c r="J106">
        <v>0</v>
      </c>
      <c r="K106">
        <f t="shared" si="4"/>
        <v>1</v>
      </c>
      <c r="L106">
        <f t="shared" si="5"/>
        <v>0</v>
      </c>
    </row>
    <row r="107" spans="1:12" x14ac:dyDescent="0.25">
      <c r="A107" t="s">
        <v>38</v>
      </c>
      <c r="B107">
        <v>4</v>
      </c>
      <c r="C107" s="1">
        <v>43365</v>
      </c>
      <c r="D107" s="2">
        <v>0.77083333333333337</v>
      </c>
      <c r="E107" t="s">
        <v>2</v>
      </c>
      <c r="F107" t="s">
        <v>21</v>
      </c>
      <c r="G107">
        <v>2</v>
      </c>
      <c r="H107">
        <v>0</v>
      </c>
      <c r="I107">
        <f t="shared" si="3"/>
        <v>1</v>
      </c>
      <c r="J107">
        <v>0</v>
      </c>
      <c r="K107">
        <f t="shared" si="4"/>
        <v>1</v>
      </c>
      <c r="L107">
        <f t="shared" si="5"/>
        <v>0</v>
      </c>
    </row>
    <row r="108" spans="1:12" x14ac:dyDescent="0.25">
      <c r="A108" t="s">
        <v>38</v>
      </c>
      <c r="B108">
        <v>5</v>
      </c>
      <c r="C108" s="1">
        <v>43368</v>
      </c>
      <c r="D108" s="2">
        <v>0.85416666666666663</v>
      </c>
      <c r="E108" t="s">
        <v>4</v>
      </c>
      <c r="F108" t="s">
        <v>15</v>
      </c>
      <c r="G108">
        <v>1</v>
      </c>
      <c r="H108">
        <v>1</v>
      </c>
      <c r="I108">
        <f t="shared" si="3"/>
        <v>0</v>
      </c>
      <c r="J108">
        <v>0</v>
      </c>
      <c r="K108">
        <f t="shared" si="4"/>
        <v>1</v>
      </c>
      <c r="L108">
        <f t="shared" si="5"/>
        <v>0</v>
      </c>
    </row>
    <row r="109" spans="1:12" x14ac:dyDescent="0.25">
      <c r="A109" t="s">
        <v>38</v>
      </c>
      <c r="B109">
        <v>6</v>
      </c>
      <c r="C109" s="1">
        <v>43371</v>
      </c>
      <c r="D109" s="2">
        <v>0.85416666666666663</v>
      </c>
      <c r="E109" t="s">
        <v>2</v>
      </c>
      <c r="F109" t="s">
        <v>6</v>
      </c>
      <c r="G109">
        <v>0</v>
      </c>
      <c r="H109">
        <v>2</v>
      </c>
      <c r="I109">
        <f t="shared" si="3"/>
        <v>0</v>
      </c>
      <c r="J109">
        <v>0</v>
      </c>
      <c r="K109">
        <f t="shared" si="4"/>
        <v>0</v>
      </c>
      <c r="L109">
        <f t="shared" si="5"/>
        <v>1</v>
      </c>
    </row>
    <row r="110" spans="1:12" x14ac:dyDescent="0.25">
      <c r="A110" t="s">
        <v>38</v>
      </c>
      <c r="B110">
        <v>7</v>
      </c>
      <c r="C110" s="1">
        <v>43379</v>
      </c>
      <c r="D110" s="2">
        <v>0.77083333333333337</v>
      </c>
      <c r="E110" t="s">
        <v>4</v>
      </c>
      <c r="F110" t="s">
        <v>3</v>
      </c>
      <c r="G110">
        <v>0</v>
      </c>
      <c r="H110">
        <v>3</v>
      </c>
      <c r="I110">
        <f t="shared" si="3"/>
        <v>0</v>
      </c>
      <c r="J110">
        <v>0</v>
      </c>
      <c r="K110">
        <f t="shared" si="4"/>
        <v>0</v>
      </c>
      <c r="L110">
        <f t="shared" si="5"/>
        <v>1</v>
      </c>
    </row>
    <row r="111" spans="1:12" x14ac:dyDescent="0.25">
      <c r="A111" t="s">
        <v>38</v>
      </c>
      <c r="B111">
        <v>8</v>
      </c>
      <c r="C111" s="1">
        <v>43393</v>
      </c>
      <c r="D111" s="2">
        <v>0.64583333333333337</v>
      </c>
      <c r="E111" t="s">
        <v>2</v>
      </c>
      <c r="F111" t="s">
        <v>20</v>
      </c>
      <c r="G111">
        <v>3</v>
      </c>
      <c r="H111">
        <v>1</v>
      </c>
      <c r="I111">
        <f t="shared" si="3"/>
        <v>1</v>
      </c>
      <c r="J111">
        <v>0</v>
      </c>
      <c r="K111">
        <f t="shared" si="4"/>
        <v>1</v>
      </c>
      <c r="L111">
        <f t="shared" si="5"/>
        <v>0</v>
      </c>
    </row>
    <row r="112" spans="1:12" x14ac:dyDescent="0.25">
      <c r="A112" t="s">
        <v>38</v>
      </c>
      <c r="B112">
        <v>9</v>
      </c>
      <c r="C112" s="1">
        <v>43400</v>
      </c>
      <c r="D112" s="2">
        <v>0.64583333333333337</v>
      </c>
      <c r="E112" t="s">
        <v>2</v>
      </c>
      <c r="F112" t="s">
        <v>18</v>
      </c>
      <c r="G112">
        <v>2</v>
      </c>
      <c r="H112">
        <v>1</v>
      </c>
      <c r="I112">
        <f t="shared" si="3"/>
        <v>1</v>
      </c>
      <c r="J112">
        <v>0</v>
      </c>
      <c r="K112">
        <f t="shared" si="4"/>
        <v>1</v>
      </c>
      <c r="L112">
        <f t="shared" si="5"/>
        <v>0</v>
      </c>
    </row>
    <row r="113" spans="1:12" x14ac:dyDescent="0.25">
      <c r="A113" t="s">
        <v>38</v>
      </c>
      <c r="B113">
        <v>10</v>
      </c>
      <c r="C113" s="1">
        <v>43407</v>
      </c>
      <c r="D113" s="2">
        <v>0.64583333333333337</v>
      </c>
      <c r="E113" t="s">
        <v>4</v>
      </c>
      <c r="F113" t="s">
        <v>14</v>
      </c>
      <c r="G113">
        <v>1</v>
      </c>
      <c r="H113">
        <v>1</v>
      </c>
      <c r="I113">
        <f t="shared" si="3"/>
        <v>0</v>
      </c>
      <c r="J113">
        <v>0</v>
      </c>
      <c r="K113">
        <f t="shared" si="4"/>
        <v>1</v>
      </c>
      <c r="L113">
        <f t="shared" si="5"/>
        <v>0</v>
      </c>
    </row>
    <row r="114" spans="1:12" x14ac:dyDescent="0.25">
      <c r="A114" t="s">
        <v>38</v>
      </c>
      <c r="B114">
        <v>11</v>
      </c>
      <c r="C114" s="1">
        <v>43414</v>
      </c>
      <c r="D114" s="2">
        <v>0.77083333333333337</v>
      </c>
      <c r="E114" t="s">
        <v>2</v>
      </c>
      <c r="F114" t="s">
        <v>17</v>
      </c>
      <c r="G114">
        <v>2</v>
      </c>
      <c r="H114">
        <v>3</v>
      </c>
      <c r="I114">
        <f t="shared" si="3"/>
        <v>0</v>
      </c>
      <c r="J114">
        <v>0</v>
      </c>
      <c r="K114">
        <f t="shared" si="4"/>
        <v>0</v>
      </c>
      <c r="L114">
        <f t="shared" si="5"/>
        <v>1</v>
      </c>
    </row>
    <row r="115" spans="1:12" x14ac:dyDescent="0.25">
      <c r="A115" t="s">
        <v>38</v>
      </c>
      <c r="B115">
        <v>12</v>
      </c>
      <c r="C115" s="1">
        <v>43428</v>
      </c>
      <c r="D115" s="2">
        <v>0.64583333333333337</v>
      </c>
      <c r="E115" t="s">
        <v>4</v>
      </c>
      <c r="F115" t="s">
        <v>24</v>
      </c>
      <c r="G115">
        <v>3</v>
      </c>
      <c r="H115">
        <v>3</v>
      </c>
      <c r="I115">
        <f t="shared" si="3"/>
        <v>0</v>
      </c>
      <c r="J115">
        <v>0</v>
      </c>
      <c r="K115">
        <f t="shared" si="4"/>
        <v>1</v>
      </c>
      <c r="L115">
        <f t="shared" si="5"/>
        <v>0</v>
      </c>
    </row>
    <row r="116" spans="1:12" x14ac:dyDescent="0.25">
      <c r="A116" t="s">
        <v>38</v>
      </c>
      <c r="B116">
        <v>13</v>
      </c>
      <c r="C116" s="1">
        <v>43435</v>
      </c>
      <c r="D116" s="2">
        <v>0.64583333333333337</v>
      </c>
      <c r="E116" t="s">
        <v>2</v>
      </c>
      <c r="F116" t="s">
        <v>22</v>
      </c>
      <c r="G116">
        <v>2</v>
      </c>
      <c r="H116">
        <v>1</v>
      </c>
      <c r="I116">
        <f t="shared" si="3"/>
        <v>1</v>
      </c>
      <c r="J116">
        <v>0</v>
      </c>
      <c r="K116">
        <f t="shared" si="4"/>
        <v>1</v>
      </c>
      <c r="L116">
        <f t="shared" si="5"/>
        <v>0</v>
      </c>
    </row>
    <row r="117" spans="1:12" x14ac:dyDescent="0.25">
      <c r="A117" t="s">
        <v>38</v>
      </c>
      <c r="B117">
        <v>14</v>
      </c>
      <c r="C117" s="1">
        <v>43442</v>
      </c>
      <c r="D117" s="2">
        <v>0.64583333333333337</v>
      </c>
      <c r="E117" t="s">
        <v>4</v>
      </c>
      <c r="F117" t="s">
        <v>25</v>
      </c>
      <c r="G117">
        <v>3</v>
      </c>
      <c r="H117">
        <v>0</v>
      </c>
      <c r="I117">
        <f t="shared" si="3"/>
        <v>1</v>
      </c>
      <c r="J117">
        <v>0</v>
      </c>
      <c r="K117">
        <f t="shared" si="4"/>
        <v>1</v>
      </c>
      <c r="L117">
        <f t="shared" si="5"/>
        <v>0</v>
      </c>
    </row>
    <row r="118" spans="1:12" x14ac:dyDescent="0.25">
      <c r="A118" t="s">
        <v>38</v>
      </c>
      <c r="B118">
        <v>15</v>
      </c>
      <c r="C118" s="1">
        <v>43449</v>
      </c>
      <c r="D118" s="2">
        <v>0.64583333333333337</v>
      </c>
      <c r="E118" t="s">
        <v>2</v>
      </c>
      <c r="F118" t="s">
        <v>26</v>
      </c>
      <c r="G118">
        <v>4</v>
      </c>
      <c r="H118">
        <v>0</v>
      </c>
      <c r="I118">
        <f t="shared" si="3"/>
        <v>1</v>
      </c>
      <c r="J118">
        <v>0</v>
      </c>
      <c r="K118">
        <f t="shared" si="4"/>
        <v>1</v>
      </c>
      <c r="L118">
        <f t="shared" si="5"/>
        <v>0</v>
      </c>
    </row>
    <row r="119" spans="1:12" x14ac:dyDescent="0.25">
      <c r="A119" t="s">
        <v>38</v>
      </c>
      <c r="B119">
        <v>16</v>
      </c>
      <c r="C119" s="1">
        <v>43453</v>
      </c>
      <c r="D119" s="2">
        <v>0.85416666666666663</v>
      </c>
      <c r="E119" t="s">
        <v>4</v>
      </c>
      <c r="F119" t="s">
        <v>7</v>
      </c>
      <c r="G119">
        <v>1</v>
      </c>
      <c r="H119">
        <v>0</v>
      </c>
      <c r="I119">
        <f t="shared" si="3"/>
        <v>1</v>
      </c>
      <c r="J119">
        <v>0</v>
      </c>
      <c r="K119">
        <f t="shared" si="4"/>
        <v>1</v>
      </c>
      <c r="L119">
        <f t="shared" si="5"/>
        <v>0</v>
      </c>
    </row>
    <row r="120" spans="1:12" x14ac:dyDescent="0.25">
      <c r="A120" t="s">
        <v>38</v>
      </c>
      <c r="B120">
        <v>17</v>
      </c>
      <c r="C120" s="1">
        <v>43456</v>
      </c>
      <c r="D120" s="2">
        <v>0.77083333333333337</v>
      </c>
      <c r="E120" t="s">
        <v>2</v>
      </c>
      <c r="F120" t="s">
        <v>10</v>
      </c>
      <c r="G120">
        <v>3</v>
      </c>
      <c r="H120">
        <v>0</v>
      </c>
      <c r="I120">
        <f t="shared" si="3"/>
        <v>1</v>
      </c>
      <c r="J120">
        <v>0</v>
      </c>
      <c r="K120">
        <f t="shared" si="4"/>
        <v>1</v>
      </c>
      <c r="L120">
        <f t="shared" si="5"/>
        <v>0</v>
      </c>
    </row>
    <row r="121" spans="1:12" x14ac:dyDescent="0.25">
      <c r="A121" t="s">
        <v>38</v>
      </c>
      <c r="B121">
        <v>18</v>
      </c>
      <c r="C121" s="1">
        <v>43483</v>
      </c>
      <c r="D121" s="2">
        <v>0.85416666666666663</v>
      </c>
      <c r="E121" t="s">
        <v>2</v>
      </c>
      <c r="F121" t="s">
        <v>12</v>
      </c>
      <c r="G121">
        <v>3</v>
      </c>
      <c r="H121">
        <v>1</v>
      </c>
      <c r="I121">
        <f t="shared" si="3"/>
        <v>1</v>
      </c>
      <c r="J121">
        <v>0</v>
      </c>
      <c r="K121">
        <f t="shared" si="4"/>
        <v>1</v>
      </c>
      <c r="L121">
        <f t="shared" si="5"/>
        <v>0</v>
      </c>
    </row>
    <row r="122" spans="1:12" x14ac:dyDescent="0.25">
      <c r="A122" t="s">
        <v>38</v>
      </c>
      <c r="B122">
        <v>19</v>
      </c>
      <c r="C122" s="1">
        <v>43492</v>
      </c>
      <c r="D122" s="2">
        <v>0.64583333333333337</v>
      </c>
      <c r="E122" t="s">
        <v>4</v>
      </c>
      <c r="F122" t="s">
        <v>19</v>
      </c>
      <c r="G122">
        <v>4</v>
      </c>
      <c r="H122">
        <v>1</v>
      </c>
      <c r="I122">
        <f t="shared" si="3"/>
        <v>1</v>
      </c>
      <c r="J122">
        <v>0</v>
      </c>
      <c r="K122">
        <f t="shared" si="4"/>
        <v>1</v>
      </c>
      <c r="L122">
        <f t="shared" si="5"/>
        <v>0</v>
      </c>
    </row>
    <row r="123" spans="1:12" x14ac:dyDescent="0.25">
      <c r="A123" t="s">
        <v>38</v>
      </c>
      <c r="B123">
        <v>20</v>
      </c>
      <c r="C123" s="1">
        <v>43498</v>
      </c>
      <c r="D123" s="2">
        <v>0.64583333333333337</v>
      </c>
      <c r="E123" t="s">
        <v>2</v>
      </c>
      <c r="F123" t="s">
        <v>11</v>
      </c>
      <c r="G123">
        <v>1</v>
      </c>
      <c r="H123">
        <v>3</v>
      </c>
      <c r="I123">
        <f t="shared" si="3"/>
        <v>0</v>
      </c>
      <c r="J123">
        <v>0</v>
      </c>
      <c r="K123">
        <f t="shared" si="4"/>
        <v>0</v>
      </c>
      <c r="L123">
        <f t="shared" si="5"/>
        <v>1</v>
      </c>
    </row>
    <row r="124" spans="1:12" x14ac:dyDescent="0.25">
      <c r="A124" t="s">
        <v>38</v>
      </c>
      <c r="B124">
        <v>21</v>
      </c>
      <c r="C124" s="1">
        <v>43505</v>
      </c>
      <c r="D124" s="2">
        <v>0.77083333333333337</v>
      </c>
      <c r="E124" t="s">
        <v>4</v>
      </c>
      <c r="F124" t="s">
        <v>21</v>
      </c>
      <c r="G124">
        <v>3</v>
      </c>
      <c r="H124">
        <v>1</v>
      </c>
      <c r="I124">
        <f t="shared" si="3"/>
        <v>1</v>
      </c>
      <c r="J124">
        <v>0</v>
      </c>
      <c r="K124">
        <f t="shared" si="4"/>
        <v>1</v>
      </c>
      <c r="L124">
        <f t="shared" si="5"/>
        <v>0</v>
      </c>
    </row>
    <row r="125" spans="1:12" x14ac:dyDescent="0.25">
      <c r="A125" t="s">
        <v>38</v>
      </c>
      <c r="B125">
        <v>22</v>
      </c>
      <c r="C125" s="1">
        <v>43511</v>
      </c>
      <c r="D125" s="2">
        <v>0.85416666666666663</v>
      </c>
      <c r="E125" t="s">
        <v>2</v>
      </c>
      <c r="F125" t="s">
        <v>15</v>
      </c>
      <c r="G125">
        <v>3</v>
      </c>
      <c r="H125">
        <v>2</v>
      </c>
      <c r="I125">
        <f t="shared" si="3"/>
        <v>1</v>
      </c>
      <c r="J125">
        <v>0</v>
      </c>
      <c r="K125">
        <f t="shared" si="4"/>
        <v>1</v>
      </c>
      <c r="L125">
        <f t="shared" si="5"/>
        <v>0</v>
      </c>
    </row>
    <row r="126" spans="1:12" x14ac:dyDescent="0.25">
      <c r="A126" t="s">
        <v>38</v>
      </c>
      <c r="B126">
        <v>23</v>
      </c>
      <c r="C126" s="1">
        <v>43519</v>
      </c>
      <c r="D126" s="2">
        <v>0.64583333333333337</v>
      </c>
      <c r="E126" t="s">
        <v>4</v>
      </c>
      <c r="F126" t="s">
        <v>6</v>
      </c>
      <c r="G126">
        <v>1</v>
      </c>
      <c r="H126">
        <v>0</v>
      </c>
      <c r="I126">
        <f t="shared" si="3"/>
        <v>1</v>
      </c>
      <c r="J126">
        <v>0</v>
      </c>
      <c r="K126">
        <f t="shared" si="4"/>
        <v>1</v>
      </c>
      <c r="L126">
        <f t="shared" si="5"/>
        <v>0</v>
      </c>
    </row>
    <row r="127" spans="1:12" x14ac:dyDescent="0.25">
      <c r="A127" t="s">
        <v>38</v>
      </c>
      <c r="B127">
        <v>24</v>
      </c>
      <c r="C127" s="1">
        <v>43526</v>
      </c>
      <c r="D127" s="2">
        <v>0.77083333333333337</v>
      </c>
      <c r="E127" t="s">
        <v>2</v>
      </c>
      <c r="F127" t="s">
        <v>3</v>
      </c>
      <c r="G127">
        <v>5</v>
      </c>
      <c r="H127">
        <v>1</v>
      </c>
      <c r="I127">
        <f t="shared" si="3"/>
        <v>1</v>
      </c>
      <c r="J127">
        <v>0</v>
      </c>
      <c r="K127">
        <f t="shared" si="4"/>
        <v>1</v>
      </c>
      <c r="L127">
        <f t="shared" si="5"/>
        <v>0</v>
      </c>
    </row>
    <row r="128" spans="1:12" x14ac:dyDescent="0.25">
      <c r="A128" t="s">
        <v>38</v>
      </c>
      <c r="B128">
        <v>25</v>
      </c>
      <c r="C128" s="1">
        <v>43533</v>
      </c>
      <c r="D128" s="2">
        <v>0.64583333333333337</v>
      </c>
      <c r="E128" t="s">
        <v>4</v>
      </c>
      <c r="F128" t="s">
        <v>20</v>
      </c>
      <c r="G128">
        <v>6</v>
      </c>
      <c r="H128">
        <v>0</v>
      </c>
      <c r="I128">
        <f t="shared" si="3"/>
        <v>1</v>
      </c>
      <c r="J128">
        <v>0</v>
      </c>
      <c r="K128">
        <f t="shared" si="4"/>
        <v>1</v>
      </c>
      <c r="L128">
        <f t="shared" si="5"/>
        <v>0</v>
      </c>
    </row>
    <row r="129" spans="1:12" x14ac:dyDescent="0.25">
      <c r="A129" t="s">
        <v>38</v>
      </c>
      <c r="B129">
        <v>26</v>
      </c>
      <c r="C129" s="1">
        <v>43541</v>
      </c>
      <c r="D129" s="2">
        <v>0.75</v>
      </c>
      <c r="E129" t="s">
        <v>4</v>
      </c>
      <c r="F129" t="s">
        <v>18</v>
      </c>
      <c r="G129">
        <v>6</v>
      </c>
      <c r="H129">
        <v>0</v>
      </c>
      <c r="I129">
        <f t="shared" si="3"/>
        <v>1</v>
      </c>
      <c r="J129">
        <v>0</v>
      </c>
      <c r="K129">
        <f t="shared" si="4"/>
        <v>1</v>
      </c>
      <c r="L129">
        <f t="shared" si="5"/>
        <v>0</v>
      </c>
    </row>
    <row r="130" spans="1:12" x14ac:dyDescent="0.25">
      <c r="A130" t="s">
        <v>38</v>
      </c>
      <c r="B130">
        <v>27</v>
      </c>
      <c r="C130" s="1">
        <v>43554</v>
      </c>
      <c r="D130" s="2">
        <v>0.64583333333333337</v>
      </c>
      <c r="E130" t="s">
        <v>2</v>
      </c>
      <c r="F130" t="s">
        <v>14</v>
      </c>
      <c r="G130">
        <v>1</v>
      </c>
      <c r="H130">
        <v>1</v>
      </c>
      <c r="I130">
        <f t="shared" si="3"/>
        <v>0</v>
      </c>
      <c r="J130">
        <v>0</v>
      </c>
      <c r="K130">
        <f t="shared" si="4"/>
        <v>1</v>
      </c>
      <c r="L130">
        <f t="shared" si="5"/>
        <v>0</v>
      </c>
    </row>
    <row r="131" spans="1:12" x14ac:dyDescent="0.25">
      <c r="A131" t="s">
        <v>38</v>
      </c>
      <c r="B131">
        <v>28</v>
      </c>
      <c r="C131" s="1">
        <v>43561</v>
      </c>
      <c r="D131" s="2">
        <v>0.77083333333333337</v>
      </c>
      <c r="E131" t="s">
        <v>4</v>
      </c>
      <c r="F131" t="s">
        <v>17</v>
      </c>
      <c r="G131">
        <v>5</v>
      </c>
      <c r="H131">
        <v>0</v>
      </c>
      <c r="I131">
        <f t="shared" ref="I131:I194" si="6">IF(G131&gt;H131,1,0)</f>
        <v>1</v>
      </c>
      <c r="J131">
        <v>0</v>
      </c>
      <c r="K131">
        <f t="shared" ref="K131:K194" si="7">IF(G131&gt;=H131,1,0)</f>
        <v>1</v>
      </c>
      <c r="L131">
        <f t="shared" ref="L131:L194" si="8">IF(H131&gt;G131,1,0)</f>
        <v>0</v>
      </c>
    </row>
    <row r="132" spans="1:12" x14ac:dyDescent="0.25">
      <c r="A132" t="s">
        <v>38</v>
      </c>
      <c r="B132">
        <v>29</v>
      </c>
      <c r="C132" s="1">
        <v>43569</v>
      </c>
      <c r="D132" s="2">
        <v>0.64583333333333337</v>
      </c>
      <c r="E132" t="s">
        <v>2</v>
      </c>
      <c r="F132" t="s">
        <v>24</v>
      </c>
      <c r="G132">
        <v>4</v>
      </c>
      <c r="H132">
        <v>1</v>
      </c>
      <c r="I132">
        <f t="shared" si="6"/>
        <v>1</v>
      </c>
      <c r="J132">
        <v>0</v>
      </c>
      <c r="K132">
        <f t="shared" si="7"/>
        <v>1</v>
      </c>
      <c r="L132">
        <f t="shared" si="8"/>
        <v>0</v>
      </c>
    </row>
    <row r="133" spans="1:12" x14ac:dyDescent="0.25">
      <c r="A133" t="s">
        <v>38</v>
      </c>
      <c r="B133">
        <v>30</v>
      </c>
      <c r="C133" s="1">
        <v>43575</v>
      </c>
      <c r="D133" s="2">
        <v>0.64583333333333337</v>
      </c>
      <c r="E133" t="s">
        <v>4</v>
      </c>
      <c r="F133" t="s">
        <v>22</v>
      </c>
      <c r="G133">
        <v>1</v>
      </c>
      <c r="H133">
        <v>0</v>
      </c>
      <c r="I133">
        <f t="shared" si="6"/>
        <v>1</v>
      </c>
      <c r="J133">
        <v>0</v>
      </c>
      <c r="K133">
        <f t="shared" si="7"/>
        <v>1</v>
      </c>
      <c r="L133">
        <f t="shared" si="8"/>
        <v>0</v>
      </c>
    </row>
    <row r="134" spans="1:12" x14ac:dyDescent="0.25">
      <c r="A134" t="s">
        <v>38</v>
      </c>
      <c r="B134">
        <v>31</v>
      </c>
      <c r="C134" s="1">
        <v>43583</v>
      </c>
      <c r="D134" s="2">
        <v>0.75</v>
      </c>
      <c r="E134" t="s">
        <v>2</v>
      </c>
      <c r="F134" t="s">
        <v>25</v>
      </c>
      <c r="G134">
        <v>1</v>
      </c>
      <c r="H134">
        <v>1</v>
      </c>
      <c r="I134">
        <f t="shared" si="6"/>
        <v>0</v>
      </c>
      <c r="J134">
        <v>0</v>
      </c>
      <c r="K134">
        <f t="shared" si="7"/>
        <v>1</v>
      </c>
      <c r="L134">
        <f t="shared" si="8"/>
        <v>0</v>
      </c>
    </row>
    <row r="135" spans="1:12" x14ac:dyDescent="0.25">
      <c r="A135" t="s">
        <v>38</v>
      </c>
      <c r="B135">
        <v>32</v>
      </c>
      <c r="C135" s="1">
        <v>43589</v>
      </c>
      <c r="D135" s="2">
        <v>0.64583333333333337</v>
      </c>
      <c r="E135" t="s">
        <v>4</v>
      </c>
      <c r="F135" t="s">
        <v>26</v>
      </c>
      <c r="G135">
        <v>3</v>
      </c>
      <c r="H135">
        <v>1</v>
      </c>
      <c r="I135">
        <f t="shared" si="6"/>
        <v>1</v>
      </c>
      <c r="J135">
        <v>0</v>
      </c>
      <c r="K135">
        <f t="shared" si="7"/>
        <v>1</v>
      </c>
      <c r="L135">
        <f t="shared" si="8"/>
        <v>0</v>
      </c>
    </row>
    <row r="136" spans="1:12" x14ac:dyDescent="0.25">
      <c r="A136" t="s">
        <v>38</v>
      </c>
      <c r="B136">
        <v>33</v>
      </c>
      <c r="C136" s="1">
        <v>43596</v>
      </c>
      <c r="D136" s="2">
        <v>0.64583333333333337</v>
      </c>
      <c r="E136" t="s">
        <v>2</v>
      </c>
      <c r="F136" t="s">
        <v>7</v>
      </c>
      <c r="G136">
        <v>0</v>
      </c>
      <c r="H136">
        <v>0</v>
      </c>
      <c r="I136">
        <f t="shared" si="6"/>
        <v>0</v>
      </c>
      <c r="J136">
        <v>0</v>
      </c>
      <c r="K136">
        <f t="shared" si="7"/>
        <v>1</v>
      </c>
      <c r="L136">
        <f t="shared" si="8"/>
        <v>0</v>
      </c>
    </row>
    <row r="137" spans="1:12" x14ac:dyDescent="0.25">
      <c r="A137" s="3" t="s">
        <v>38</v>
      </c>
      <c r="B137" s="3">
        <v>34</v>
      </c>
      <c r="C137" s="4">
        <v>43603</v>
      </c>
      <c r="D137" s="5">
        <v>0.64583333333333337</v>
      </c>
      <c r="E137" s="3" t="s">
        <v>4</v>
      </c>
      <c r="F137" s="3" t="s">
        <v>10</v>
      </c>
      <c r="G137" s="3">
        <v>5</v>
      </c>
      <c r="H137" s="3">
        <v>1</v>
      </c>
      <c r="I137" s="3">
        <f t="shared" si="6"/>
        <v>1</v>
      </c>
      <c r="J137" s="3">
        <v>0</v>
      </c>
      <c r="K137">
        <f t="shared" si="7"/>
        <v>1</v>
      </c>
      <c r="L137">
        <f t="shared" si="8"/>
        <v>0</v>
      </c>
    </row>
    <row r="138" spans="1:12" x14ac:dyDescent="0.25">
      <c r="A138" t="s">
        <v>39</v>
      </c>
      <c r="B138">
        <v>1</v>
      </c>
      <c r="C138" s="1">
        <v>42965</v>
      </c>
      <c r="D138" s="2">
        <v>0.85416666666666663</v>
      </c>
      <c r="E138" t="s">
        <v>4</v>
      </c>
      <c r="F138" t="s">
        <v>11</v>
      </c>
      <c r="G138">
        <v>3</v>
      </c>
      <c r="H138">
        <v>1</v>
      </c>
      <c r="I138">
        <f t="shared" si="6"/>
        <v>1</v>
      </c>
      <c r="J138">
        <v>0</v>
      </c>
      <c r="K138">
        <f t="shared" si="7"/>
        <v>1</v>
      </c>
      <c r="L138">
        <f t="shared" si="8"/>
        <v>0</v>
      </c>
    </row>
    <row r="139" spans="1:12" x14ac:dyDescent="0.25">
      <c r="A139" t="s">
        <v>39</v>
      </c>
      <c r="B139">
        <v>2</v>
      </c>
      <c r="C139" s="1">
        <v>42973</v>
      </c>
      <c r="D139" s="2">
        <v>0.64583333333333337</v>
      </c>
      <c r="E139" t="s">
        <v>2</v>
      </c>
      <c r="F139" t="s">
        <v>22</v>
      </c>
      <c r="G139">
        <v>2</v>
      </c>
      <c r="H139">
        <v>0</v>
      </c>
      <c r="I139">
        <f t="shared" si="6"/>
        <v>1</v>
      </c>
      <c r="J139">
        <v>0</v>
      </c>
      <c r="K139">
        <f t="shared" si="7"/>
        <v>1</v>
      </c>
      <c r="L139">
        <f t="shared" si="8"/>
        <v>0</v>
      </c>
    </row>
    <row r="140" spans="1:12" x14ac:dyDescent="0.25">
      <c r="A140" t="s">
        <v>39</v>
      </c>
      <c r="B140">
        <v>3</v>
      </c>
      <c r="C140" s="1">
        <v>42987</v>
      </c>
      <c r="D140" s="2">
        <v>0.77083333333333337</v>
      </c>
      <c r="E140" t="s">
        <v>2</v>
      </c>
      <c r="F140" t="s">
        <v>12</v>
      </c>
      <c r="G140">
        <v>0</v>
      </c>
      <c r="H140">
        <v>2</v>
      </c>
      <c r="I140">
        <f t="shared" si="6"/>
        <v>0</v>
      </c>
      <c r="J140">
        <v>0</v>
      </c>
      <c r="K140">
        <f t="shared" si="7"/>
        <v>0</v>
      </c>
      <c r="L140">
        <f t="shared" si="8"/>
        <v>1</v>
      </c>
    </row>
    <row r="141" spans="1:12" x14ac:dyDescent="0.25">
      <c r="A141" t="s">
        <v>39</v>
      </c>
      <c r="B141">
        <v>4</v>
      </c>
      <c r="C141" s="1">
        <v>42994</v>
      </c>
      <c r="D141" s="2">
        <v>0.64583333333333337</v>
      </c>
      <c r="E141" t="s">
        <v>4</v>
      </c>
      <c r="F141" t="s">
        <v>18</v>
      </c>
      <c r="G141">
        <v>4</v>
      </c>
      <c r="H141">
        <v>0</v>
      </c>
      <c r="I141">
        <f t="shared" si="6"/>
        <v>1</v>
      </c>
      <c r="J141">
        <v>0</v>
      </c>
      <c r="K141">
        <f t="shared" si="7"/>
        <v>1</v>
      </c>
      <c r="L141">
        <f t="shared" si="8"/>
        <v>0</v>
      </c>
    </row>
    <row r="142" spans="1:12" x14ac:dyDescent="0.25">
      <c r="A142" t="s">
        <v>39</v>
      </c>
      <c r="B142">
        <v>5</v>
      </c>
      <c r="C142" s="1">
        <v>42997</v>
      </c>
      <c r="D142" s="2">
        <v>0.85416666666666663</v>
      </c>
      <c r="E142" t="s">
        <v>2</v>
      </c>
      <c r="F142" t="s">
        <v>21</v>
      </c>
      <c r="G142">
        <v>3</v>
      </c>
      <c r="H142">
        <v>0</v>
      </c>
      <c r="I142">
        <f t="shared" si="6"/>
        <v>1</v>
      </c>
      <c r="J142">
        <v>0</v>
      </c>
      <c r="K142">
        <f t="shared" si="7"/>
        <v>1</v>
      </c>
      <c r="L142">
        <f t="shared" si="8"/>
        <v>0</v>
      </c>
    </row>
    <row r="143" spans="1:12" x14ac:dyDescent="0.25">
      <c r="A143" t="s">
        <v>39</v>
      </c>
      <c r="B143">
        <v>6</v>
      </c>
      <c r="C143" s="1">
        <v>43000</v>
      </c>
      <c r="D143" s="2">
        <v>0.85416666666666663</v>
      </c>
      <c r="E143" t="s">
        <v>4</v>
      </c>
      <c r="F143" t="s">
        <v>20</v>
      </c>
      <c r="G143">
        <v>2</v>
      </c>
      <c r="H143">
        <v>2</v>
      </c>
      <c r="I143">
        <f t="shared" si="6"/>
        <v>0</v>
      </c>
      <c r="J143">
        <v>0</v>
      </c>
      <c r="K143">
        <f t="shared" si="7"/>
        <v>1</v>
      </c>
      <c r="L143">
        <f t="shared" si="8"/>
        <v>0</v>
      </c>
    </row>
    <row r="144" spans="1:12" x14ac:dyDescent="0.25">
      <c r="A144" t="s">
        <v>39</v>
      </c>
      <c r="B144">
        <v>7</v>
      </c>
      <c r="C144" s="1">
        <v>43009</v>
      </c>
      <c r="D144" s="2">
        <v>0.64583333333333337</v>
      </c>
      <c r="E144" t="s">
        <v>2</v>
      </c>
      <c r="F144" t="s">
        <v>6</v>
      </c>
      <c r="G144">
        <v>2</v>
      </c>
      <c r="H144">
        <v>2</v>
      </c>
      <c r="I144">
        <f t="shared" si="6"/>
        <v>0</v>
      </c>
      <c r="J144">
        <v>0</v>
      </c>
      <c r="K144">
        <f t="shared" si="7"/>
        <v>1</v>
      </c>
      <c r="L144">
        <f t="shared" si="8"/>
        <v>0</v>
      </c>
    </row>
    <row r="145" spans="1:12" x14ac:dyDescent="0.25">
      <c r="A145" t="s">
        <v>39</v>
      </c>
      <c r="B145">
        <v>8</v>
      </c>
      <c r="C145" s="1">
        <v>43022</v>
      </c>
      <c r="D145" s="2">
        <v>0.64583333333333337</v>
      </c>
      <c r="E145" t="s">
        <v>4</v>
      </c>
      <c r="F145" t="s">
        <v>14</v>
      </c>
      <c r="G145">
        <v>5</v>
      </c>
      <c r="H145">
        <v>0</v>
      </c>
      <c r="I145">
        <f t="shared" si="6"/>
        <v>1</v>
      </c>
      <c r="J145">
        <v>0</v>
      </c>
      <c r="K145">
        <f t="shared" si="7"/>
        <v>1</v>
      </c>
      <c r="L145">
        <f t="shared" si="8"/>
        <v>0</v>
      </c>
    </row>
    <row r="146" spans="1:12" x14ac:dyDescent="0.25">
      <c r="A146" t="s">
        <v>39</v>
      </c>
      <c r="B146">
        <v>9</v>
      </c>
      <c r="C146" s="1">
        <v>43029</v>
      </c>
      <c r="D146" s="2">
        <v>0.77083333333333337</v>
      </c>
      <c r="E146" t="s">
        <v>2</v>
      </c>
      <c r="F146" t="s">
        <v>27</v>
      </c>
      <c r="G146">
        <v>1</v>
      </c>
      <c r="H146">
        <v>0</v>
      </c>
      <c r="I146">
        <f t="shared" si="6"/>
        <v>1</v>
      </c>
      <c r="J146">
        <v>0</v>
      </c>
      <c r="K146">
        <f t="shared" si="7"/>
        <v>1</v>
      </c>
      <c r="L146">
        <f t="shared" si="8"/>
        <v>0</v>
      </c>
    </row>
    <row r="147" spans="1:12" x14ac:dyDescent="0.25">
      <c r="A147" t="s">
        <v>39</v>
      </c>
      <c r="B147">
        <v>10</v>
      </c>
      <c r="C147" s="1">
        <v>43036</v>
      </c>
      <c r="D147" s="2">
        <v>0.77083333333333337</v>
      </c>
      <c r="E147" t="s">
        <v>4</v>
      </c>
      <c r="F147" t="s">
        <v>7</v>
      </c>
      <c r="G147">
        <v>2</v>
      </c>
      <c r="H147">
        <v>0</v>
      </c>
      <c r="I147">
        <f t="shared" si="6"/>
        <v>1</v>
      </c>
      <c r="J147">
        <v>0</v>
      </c>
      <c r="K147">
        <f t="shared" si="7"/>
        <v>1</v>
      </c>
      <c r="L147">
        <f t="shared" si="8"/>
        <v>0</v>
      </c>
    </row>
    <row r="148" spans="1:12" x14ac:dyDescent="0.25">
      <c r="A148" t="s">
        <v>39</v>
      </c>
      <c r="B148">
        <v>11</v>
      </c>
      <c r="C148" s="1">
        <v>43043</v>
      </c>
      <c r="D148" s="2">
        <v>0.77083333333333337</v>
      </c>
      <c r="E148" t="s">
        <v>2</v>
      </c>
      <c r="F148" t="s">
        <v>17</v>
      </c>
      <c r="G148">
        <v>3</v>
      </c>
      <c r="H148">
        <v>1</v>
      </c>
      <c r="I148">
        <f t="shared" si="6"/>
        <v>1</v>
      </c>
      <c r="J148">
        <v>0</v>
      </c>
      <c r="K148">
        <f t="shared" si="7"/>
        <v>1</v>
      </c>
      <c r="L148">
        <f t="shared" si="8"/>
        <v>0</v>
      </c>
    </row>
    <row r="149" spans="1:12" x14ac:dyDescent="0.25">
      <c r="A149" t="s">
        <v>39</v>
      </c>
      <c r="B149">
        <v>12</v>
      </c>
      <c r="C149" s="1">
        <v>43057</v>
      </c>
      <c r="D149" s="2">
        <v>0.64583333333333337</v>
      </c>
      <c r="E149" t="s">
        <v>4</v>
      </c>
      <c r="F149" t="s">
        <v>15</v>
      </c>
      <c r="G149">
        <v>3</v>
      </c>
      <c r="H149">
        <v>0</v>
      </c>
      <c r="I149">
        <f t="shared" si="6"/>
        <v>1</v>
      </c>
      <c r="J149">
        <v>0</v>
      </c>
      <c r="K149">
        <f t="shared" si="7"/>
        <v>1</v>
      </c>
      <c r="L149">
        <f t="shared" si="8"/>
        <v>0</v>
      </c>
    </row>
    <row r="150" spans="1:12" x14ac:dyDescent="0.25">
      <c r="A150" t="s">
        <v>39</v>
      </c>
      <c r="B150">
        <v>13</v>
      </c>
      <c r="C150" s="1">
        <v>43064</v>
      </c>
      <c r="D150" s="2">
        <v>0.77083333333333337</v>
      </c>
      <c r="E150" t="s">
        <v>2</v>
      </c>
      <c r="F150" t="s">
        <v>3</v>
      </c>
      <c r="G150">
        <v>1</v>
      </c>
      <c r="H150">
        <v>2</v>
      </c>
      <c r="I150">
        <f t="shared" si="6"/>
        <v>0</v>
      </c>
      <c r="J150">
        <v>0</v>
      </c>
      <c r="K150">
        <f t="shared" si="7"/>
        <v>0</v>
      </c>
      <c r="L150">
        <f t="shared" si="8"/>
        <v>1</v>
      </c>
    </row>
    <row r="151" spans="1:12" x14ac:dyDescent="0.25">
      <c r="A151" t="s">
        <v>39</v>
      </c>
      <c r="B151">
        <v>14</v>
      </c>
      <c r="C151" s="1">
        <v>43071</v>
      </c>
      <c r="D151" s="2">
        <v>0.64583333333333337</v>
      </c>
      <c r="E151" t="s">
        <v>4</v>
      </c>
      <c r="F151" t="s">
        <v>26</v>
      </c>
      <c r="G151">
        <v>3</v>
      </c>
      <c r="H151">
        <v>1</v>
      </c>
      <c r="I151">
        <f t="shared" si="6"/>
        <v>1</v>
      </c>
      <c r="J151">
        <v>0</v>
      </c>
      <c r="K151">
        <f t="shared" si="7"/>
        <v>1</v>
      </c>
      <c r="L151">
        <f t="shared" si="8"/>
        <v>0</v>
      </c>
    </row>
    <row r="152" spans="1:12" x14ac:dyDescent="0.25">
      <c r="A152" t="s">
        <v>39</v>
      </c>
      <c r="B152">
        <v>15</v>
      </c>
      <c r="C152" s="1">
        <v>43078</v>
      </c>
      <c r="D152" s="2">
        <v>0.64583333333333337</v>
      </c>
      <c r="E152" t="s">
        <v>2</v>
      </c>
      <c r="F152" t="s">
        <v>10</v>
      </c>
      <c r="G152">
        <v>1</v>
      </c>
      <c r="H152">
        <v>0</v>
      </c>
      <c r="I152">
        <f t="shared" si="6"/>
        <v>1</v>
      </c>
      <c r="J152">
        <v>0</v>
      </c>
      <c r="K152">
        <f t="shared" si="7"/>
        <v>1</v>
      </c>
      <c r="L152">
        <f t="shared" si="8"/>
        <v>0</v>
      </c>
    </row>
    <row r="153" spans="1:12" x14ac:dyDescent="0.25">
      <c r="A153" t="s">
        <v>39</v>
      </c>
      <c r="B153">
        <v>16</v>
      </c>
      <c r="C153" s="1">
        <v>43082</v>
      </c>
      <c r="D153" s="2">
        <v>0.85416666666666663</v>
      </c>
      <c r="E153" t="s">
        <v>4</v>
      </c>
      <c r="F153" t="s">
        <v>5</v>
      </c>
      <c r="G153">
        <v>1</v>
      </c>
      <c r="H153">
        <v>0</v>
      </c>
      <c r="I153">
        <f t="shared" si="6"/>
        <v>1</v>
      </c>
      <c r="J153">
        <v>0</v>
      </c>
      <c r="K153">
        <f t="shared" si="7"/>
        <v>1</v>
      </c>
      <c r="L153">
        <f t="shared" si="8"/>
        <v>0</v>
      </c>
    </row>
    <row r="154" spans="1:12" x14ac:dyDescent="0.25">
      <c r="A154" t="s">
        <v>39</v>
      </c>
      <c r="B154">
        <v>17</v>
      </c>
      <c r="C154" s="1">
        <v>43085</v>
      </c>
      <c r="D154" s="2">
        <v>0.64583333333333337</v>
      </c>
      <c r="E154" t="s">
        <v>2</v>
      </c>
      <c r="F154" t="s">
        <v>19</v>
      </c>
      <c r="G154">
        <v>1</v>
      </c>
      <c r="H154">
        <v>0</v>
      </c>
      <c r="I154">
        <f t="shared" si="6"/>
        <v>1</v>
      </c>
      <c r="J154">
        <v>0</v>
      </c>
      <c r="K154">
        <f t="shared" si="7"/>
        <v>1</v>
      </c>
      <c r="L154">
        <f t="shared" si="8"/>
        <v>0</v>
      </c>
    </row>
    <row r="155" spans="1:12" x14ac:dyDescent="0.25">
      <c r="A155" t="s">
        <v>39</v>
      </c>
      <c r="B155">
        <v>18</v>
      </c>
      <c r="C155" s="1">
        <v>43112</v>
      </c>
      <c r="D155" s="2">
        <v>0.85416666666666663</v>
      </c>
      <c r="E155" t="s">
        <v>2</v>
      </c>
      <c r="F155" t="s">
        <v>11</v>
      </c>
      <c r="G155">
        <v>3</v>
      </c>
      <c r="H155">
        <v>1</v>
      </c>
      <c r="I155">
        <f t="shared" si="6"/>
        <v>1</v>
      </c>
      <c r="J155">
        <v>0</v>
      </c>
      <c r="K155">
        <f t="shared" si="7"/>
        <v>1</v>
      </c>
      <c r="L155">
        <f t="shared" si="8"/>
        <v>0</v>
      </c>
    </row>
    <row r="156" spans="1:12" x14ac:dyDescent="0.25">
      <c r="A156" t="s">
        <v>39</v>
      </c>
      <c r="B156">
        <v>19</v>
      </c>
      <c r="C156" s="1">
        <v>43121</v>
      </c>
      <c r="D156" s="2">
        <v>0.64583333333333337</v>
      </c>
      <c r="E156" t="s">
        <v>4</v>
      </c>
      <c r="F156" t="s">
        <v>22</v>
      </c>
      <c r="G156">
        <v>4</v>
      </c>
      <c r="H156">
        <v>2</v>
      </c>
      <c r="I156">
        <f t="shared" si="6"/>
        <v>1</v>
      </c>
      <c r="J156">
        <v>0</v>
      </c>
      <c r="K156">
        <f t="shared" si="7"/>
        <v>1</v>
      </c>
      <c r="L156">
        <f t="shared" si="8"/>
        <v>0</v>
      </c>
    </row>
    <row r="157" spans="1:12" x14ac:dyDescent="0.25">
      <c r="A157" t="s">
        <v>39</v>
      </c>
      <c r="B157">
        <v>20</v>
      </c>
      <c r="C157" s="1">
        <v>43127</v>
      </c>
      <c r="D157" s="2">
        <v>0.64583333333333337</v>
      </c>
      <c r="E157" t="s">
        <v>4</v>
      </c>
      <c r="F157" t="s">
        <v>12</v>
      </c>
      <c r="G157">
        <v>5</v>
      </c>
      <c r="H157">
        <v>2</v>
      </c>
      <c r="I157">
        <f t="shared" si="6"/>
        <v>1</v>
      </c>
      <c r="J157">
        <v>0</v>
      </c>
      <c r="K157">
        <f t="shared" si="7"/>
        <v>1</v>
      </c>
      <c r="L157">
        <f t="shared" si="8"/>
        <v>0</v>
      </c>
    </row>
    <row r="158" spans="1:12" x14ac:dyDescent="0.25">
      <c r="A158" t="s">
        <v>39</v>
      </c>
      <c r="B158">
        <v>21</v>
      </c>
      <c r="C158" s="1">
        <v>43134</v>
      </c>
      <c r="D158" s="2">
        <v>0.64583333333333337</v>
      </c>
      <c r="E158" t="s">
        <v>2</v>
      </c>
      <c r="F158" t="s">
        <v>18</v>
      </c>
      <c r="G158">
        <v>2</v>
      </c>
      <c r="H158">
        <v>0</v>
      </c>
      <c r="I158">
        <f t="shared" si="6"/>
        <v>1</v>
      </c>
      <c r="J158">
        <v>0</v>
      </c>
      <c r="K158">
        <f t="shared" si="7"/>
        <v>1</v>
      </c>
      <c r="L158">
        <f t="shared" si="8"/>
        <v>0</v>
      </c>
    </row>
    <row r="159" spans="1:12" x14ac:dyDescent="0.25">
      <c r="A159" t="s">
        <v>39</v>
      </c>
      <c r="B159">
        <v>22</v>
      </c>
      <c r="C159" s="1">
        <v>43141</v>
      </c>
      <c r="D159" s="2">
        <v>0.77083333333333337</v>
      </c>
      <c r="E159" t="s">
        <v>4</v>
      </c>
      <c r="F159" t="s">
        <v>21</v>
      </c>
      <c r="G159">
        <v>2</v>
      </c>
      <c r="H159">
        <v>1</v>
      </c>
      <c r="I159">
        <f t="shared" si="6"/>
        <v>1</v>
      </c>
      <c r="J159">
        <v>0</v>
      </c>
      <c r="K159">
        <f t="shared" si="7"/>
        <v>1</v>
      </c>
      <c r="L159">
        <f t="shared" si="8"/>
        <v>0</v>
      </c>
    </row>
    <row r="160" spans="1:12" x14ac:dyDescent="0.25">
      <c r="A160" t="s">
        <v>39</v>
      </c>
      <c r="B160">
        <v>23</v>
      </c>
      <c r="C160" s="1">
        <v>43148</v>
      </c>
      <c r="D160" s="2">
        <v>0.64583333333333337</v>
      </c>
      <c r="E160" t="s">
        <v>2</v>
      </c>
      <c r="F160" t="s">
        <v>20</v>
      </c>
      <c r="G160">
        <v>2</v>
      </c>
      <c r="H160">
        <v>1</v>
      </c>
      <c r="I160">
        <f t="shared" si="6"/>
        <v>1</v>
      </c>
      <c r="J160">
        <v>0</v>
      </c>
      <c r="K160">
        <f t="shared" si="7"/>
        <v>1</v>
      </c>
      <c r="L160">
        <f t="shared" si="8"/>
        <v>0</v>
      </c>
    </row>
    <row r="161" spans="1:12" x14ac:dyDescent="0.25">
      <c r="A161" t="s">
        <v>39</v>
      </c>
      <c r="B161">
        <v>24</v>
      </c>
      <c r="C161" s="1">
        <v>43155</v>
      </c>
      <c r="D161" s="2">
        <v>0.64583333333333337</v>
      </c>
      <c r="E161" t="s">
        <v>4</v>
      </c>
      <c r="F161" t="s">
        <v>6</v>
      </c>
      <c r="G161">
        <v>0</v>
      </c>
      <c r="H161">
        <v>0</v>
      </c>
      <c r="I161">
        <f t="shared" si="6"/>
        <v>0</v>
      </c>
      <c r="J161">
        <v>0</v>
      </c>
      <c r="K161">
        <f t="shared" si="7"/>
        <v>1</v>
      </c>
      <c r="L161">
        <f t="shared" si="8"/>
        <v>0</v>
      </c>
    </row>
    <row r="162" spans="1:12" x14ac:dyDescent="0.25">
      <c r="A162" t="s">
        <v>39</v>
      </c>
      <c r="B162">
        <v>25</v>
      </c>
      <c r="C162" s="1">
        <v>43163</v>
      </c>
      <c r="D162" s="2">
        <v>0.75</v>
      </c>
      <c r="E162" t="s">
        <v>2</v>
      </c>
      <c r="F162" t="s">
        <v>14</v>
      </c>
      <c r="G162">
        <v>4</v>
      </c>
      <c r="H162">
        <v>0</v>
      </c>
      <c r="I162">
        <f t="shared" si="6"/>
        <v>1</v>
      </c>
      <c r="J162">
        <v>0</v>
      </c>
      <c r="K162">
        <f t="shared" si="7"/>
        <v>1</v>
      </c>
      <c r="L162">
        <f t="shared" si="8"/>
        <v>0</v>
      </c>
    </row>
    <row r="163" spans="1:12" x14ac:dyDescent="0.25">
      <c r="A163" t="s">
        <v>39</v>
      </c>
      <c r="B163">
        <v>26</v>
      </c>
      <c r="C163" s="1">
        <v>43169</v>
      </c>
      <c r="D163" s="2">
        <v>0.64583333333333337</v>
      </c>
      <c r="E163" t="s">
        <v>4</v>
      </c>
      <c r="F163" t="s">
        <v>27</v>
      </c>
      <c r="G163">
        <v>6</v>
      </c>
      <c r="H163">
        <v>0</v>
      </c>
      <c r="I163">
        <f t="shared" si="6"/>
        <v>1</v>
      </c>
      <c r="J163">
        <v>0</v>
      </c>
      <c r="K163">
        <f t="shared" si="7"/>
        <v>1</v>
      </c>
      <c r="L163">
        <f t="shared" si="8"/>
        <v>0</v>
      </c>
    </row>
    <row r="164" spans="1:12" x14ac:dyDescent="0.25">
      <c r="A164" t="s">
        <v>39</v>
      </c>
      <c r="B164">
        <v>27</v>
      </c>
      <c r="C164" s="1">
        <v>43177</v>
      </c>
      <c r="D164" s="2">
        <v>0.75</v>
      </c>
      <c r="E164" t="s">
        <v>2</v>
      </c>
      <c r="F164" t="s">
        <v>7</v>
      </c>
      <c r="G164">
        <v>1</v>
      </c>
      <c r="H164">
        <v>2</v>
      </c>
      <c r="I164">
        <f t="shared" si="6"/>
        <v>0</v>
      </c>
      <c r="J164">
        <v>0</v>
      </c>
      <c r="K164">
        <f t="shared" si="7"/>
        <v>0</v>
      </c>
      <c r="L164">
        <f t="shared" si="8"/>
        <v>1</v>
      </c>
    </row>
    <row r="165" spans="1:12" x14ac:dyDescent="0.25">
      <c r="A165" t="s">
        <v>39</v>
      </c>
      <c r="B165">
        <v>28</v>
      </c>
      <c r="C165" s="1">
        <v>43190</v>
      </c>
      <c r="D165" s="2">
        <v>0.77083333333333337</v>
      </c>
      <c r="E165" t="s">
        <v>4</v>
      </c>
      <c r="F165" t="s">
        <v>17</v>
      </c>
      <c r="G165">
        <v>6</v>
      </c>
      <c r="H165">
        <v>0</v>
      </c>
      <c r="I165">
        <f t="shared" si="6"/>
        <v>1</v>
      </c>
      <c r="J165">
        <v>0</v>
      </c>
      <c r="K165">
        <f t="shared" si="7"/>
        <v>1</v>
      </c>
      <c r="L165">
        <f t="shared" si="8"/>
        <v>0</v>
      </c>
    </row>
    <row r="166" spans="1:12" x14ac:dyDescent="0.25">
      <c r="A166" s="3" t="s">
        <v>39</v>
      </c>
      <c r="B166" s="3">
        <v>29</v>
      </c>
      <c r="C166" s="4">
        <v>43197</v>
      </c>
      <c r="D166" s="5">
        <v>0.64583333333333337</v>
      </c>
      <c r="E166" s="3" t="s">
        <v>2</v>
      </c>
      <c r="F166" s="3" t="s">
        <v>15</v>
      </c>
      <c r="G166" s="3">
        <v>4</v>
      </c>
      <c r="H166" s="3">
        <v>1</v>
      </c>
      <c r="I166" s="3">
        <f t="shared" si="6"/>
        <v>1</v>
      </c>
      <c r="J166" s="3">
        <v>0</v>
      </c>
      <c r="K166">
        <f t="shared" si="7"/>
        <v>1</v>
      </c>
      <c r="L166">
        <f t="shared" si="8"/>
        <v>0</v>
      </c>
    </row>
    <row r="167" spans="1:12" x14ac:dyDescent="0.25">
      <c r="A167" t="s">
        <v>39</v>
      </c>
      <c r="B167">
        <v>30</v>
      </c>
      <c r="C167" s="1">
        <v>43204</v>
      </c>
      <c r="D167" s="2">
        <v>0.77083333333333337</v>
      </c>
      <c r="E167" t="s">
        <v>4</v>
      </c>
      <c r="F167" t="s">
        <v>3</v>
      </c>
      <c r="G167">
        <v>5</v>
      </c>
      <c r="H167">
        <v>1</v>
      </c>
      <c r="I167">
        <f t="shared" si="6"/>
        <v>1</v>
      </c>
      <c r="J167">
        <v>1</v>
      </c>
      <c r="K167">
        <f t="shared" si="7"/>
        <v>1</v>
      </c>
      <c r="L167">
        <f t="shared" si="8"/>
        <v>0</v>
      </c>
    </row>
    <row r="168" spans="1:12" x14ac:dyDescent="0.25">
      <c r="A168" t="s">
        <v>39</v>
      </c>
      <c r="B168">
        <v>31</v>
      </c>
      <c r="C168" s="1">
        <v>43211</v>
      </c>
      <c r="D168" s="2">
        <v>0.64583333333333337</v>
      </c>
      <c r="E168" t="s">
        <v>2</v>
      </c>
      <c r="F168" t="s">
        <v>26</v>
      </c>
      <c r="G168">
        <v>3</v>
      </c>
      <c r="H168">
        <v>0</v>
      </c>
      <c r="I168">
        <f t="shared" si="6"/>
        <v>1</v>
      </c>
      <c r="J168">
        <v>1</v>
      </c>
      <c r="K168">
        <f t="shared" si="7"/>
        <v>1</v>
      </c>
      <c r="L168">
        <f t="shared" si="8"/>
        <v>0</v>
      </c>
    </row>
    <row r="169" spans="1:12" x14ac:dyDescent="0.25">
      <c r="A169" t="s">
        <v>39</v>
      </c>
      <c r="B169">
        <v>32</v>
      </c>
      <c r="C169" s="1">
        <v>43218</v>
      </c>
      <c r="D169" s="2">
        <v>0.64583333333333337</v>
      </c>
      <c r="E169" t="s">
        <v>4</v>
      </c>
      <c r="F169" t="s">
        <v>10</v>
      </c>
      <c r="G169">
        <v>4</v>
      </c>
      <c r="H169">
        <v>1</v>
      </c>
      <c r="I169">
        <f t="shared" si="6"/>
        <v>1</v>
      </c>
      <c r="J169">
        <v>1</v>
      </c>
      <c r="K169">
        <f t="shared" si="7"/>
        <v>1</v>
      </c>
      <c r="L169">
        <f t="shared" si="8"/>
        <v>0</v>
      </c>
    </row>
    <row r="170" spans="1:12" x14ac:dyDescent="0.25">
      <c r="A170" t="s">
        <v>39</v>
      </c>
      <c r="B170">
        <v>33</v>
      </c>
      <c r="C170" s="1">
        <v>43225</v>
      </c>
      <c r="D170" s="2">
        <v>0.64583333333333337</v>
      </c>
      <c r="E170" t="s">
        <v>2</v>
      </c>
      <c r="F170" t="s">
        <v>5</v>
      </c>
      <c r="G170">
        <v>3</v>
      </c>
      <c r="H170">
        <v>1</v>
      </c>
      <c r="I170">
        <f t="shared" si="6"/>
        <v>1</v>
      </c>
      <c r="J170">
        <v>1</v>
      </c>
      <c r="K170">
        <f t="shared" si="7"/>
        <v>1</v>
      </c>
      <c r="L170">
        <f t="shared" si="8"/>
        <v>0</v>
      </c>
    </row>
    <row r="171" spans="1:12" x14ac:dyDescent="0.25">
      <c r="A171" t="s">
        <v>39</v>
      </c>
      <c r="B171">
        <v>34</v>
      </c>
      <c r="C171" s="1">
        <v>43232</v>
      </c>
      <c r="D171" s="2">
        <v>0.64583333333333337</v>
      </c>
      <c r="E171" t="s">
        <v>4</v>
      </c>
      <c r="F171" t="s">
        <v>19</v>
      </c>
      <c r="G171">
        <v>1</v>
      </c>
      <c r="H171">
        <v>4</v>
      </c>
      <c r="I171">
        <f t="shared" si="6"/>
        <v>0</v>
      </c>
      <c r="J171">
        <v>1</v>
      </c>
      <c r="K171">
        <f t="shared" si="7"/>
        <v>0</v>
      </c>
      <c r="L171">
        <f t="shared" si="8"/>
        <v>1</v>
      </c>
    </row>
    <row r="172" spans="1:12" x14ac:dyDescent="0.25">
      <c r="A172" t="s">
        <v>40</v>
      </c>
      <c r="B172">
        <v>1</v>
      </c>
      <c r="C172" s="1">
        <v>42608</v>
      </c>
      <c r="D172" s="2">
        <v>0.85416666666666663</v>
      </c>
      <c r="E172" t="s">
        <v>4</v>
      </c>
      <c r="F172" t="s">
        <v>22</v>
      </c>
      <c r="G172">
        <v>6</v>
      </c>
      <c r="H172">
        <v>0</v>
      </c>
      <c r="I172">
        <f t="shared" si="6"/>
        <v>1</v>
      </c>
      <c r="J172">
        <v>0</v>
      </c>
      <c r="K172">
        <f t="shared" si="7"/>
        <v>1</v>
      </c>
      <c r="L172">
        <f t="shared" si="8"/>
        <v>0</v>
      </c>
    </row>
    <row r="173" spans="1:12" x14ac:dyDescent="0.25">
      <c r="A173" t="s">
        <v>40</v>
      </c>
      <c r="B173">
        <v>2</v>
      </c>
      <c r="C173" s="1">
        <v>42622</v>
      </c>
      <c r="D173" s="2">
        <v>0.85416666666666663</v>
      </c>
      <c r="E173" t="s">
        <v>2</v>
      </c>
      <c r="F173" t="s">
        <v>21</v>
      </c>
      <c r="G173">
        <v>2</v>
      </c>
      <c r="H173">
        <v>0</v>
      </c>
      <c r="I173">
        <f t="shared" si="6"/>
        <v>1</v>
      </c>
      <c r="J173">
        <v>0</v>
      </c>
      <c r="K173">
        <f t="shared" si="7"/>
        <v>1</v>
      </c>
      <c r="L173">
        <f t="shared" si="8"/>
        <v>0</v>
      </c>
    </row>
    <row r="174" spans="1:12" x14ac:dyDescent="0.25">
      <c r="A174" t="s">
        <v>40</v>
      </c>
      <c r="B174">
        <v>3</v>
      </c>
      <c r="C174" s="1">
        <v>42630</v>
      </c>
      <c r="D174" s="2">
        <v>0.64583333333333337</v>
      </c>
      <c r="E174" t="s">
        <v>4</v>
      </c>
      <c r="F174" t="s">
        <v>28</v>
      </c>
      <c r="G174">
        <v>3</v>
      </c>
      <c r="H174">
        <v>1</v>
      </c>
      <c r="I174">
        <f t="shared" si="6"/>
        <v>1</v>
      </c>
      <c r="J174">
        <v>0</v>
      </c>
      <c r="K174">
        <f t="shared" si="7"/>
        <v>1</v>
      </c>
      <c r="L174">
        <f t="shared" si="8"/>
        <v>0</v>
      </c>
    </row>
    <row r="175" spans="1:12" x14ac:dyDescent="0.25">
      <c r="A175" t="s">
        <v>40</v>
      </c>
      <c r="B175">
        <v>4</v>
      </c>
      <c r="C175" s="1">
        <v>42634</v>
      </c>
      <c r="D175" s="2">
        <v>0.83333333333333337</v>
      </c>
      <c r="E175" t="s">
        <v>4</v>
      </c>
      <c r="F175" t="s">
        <v>6</v>
      </c>
      <c r="G175">
        <v>3</v>
      </c>
      <c r="H175">
        <v>0</v>
      </c>
      <c r="I175">
        <f t="shared" si="6"/>
        <v>1</v>
      </c>
      <c r="J175">
        <v>0</v>
      </c>
      <c r="K175">
        <f t="shared" si="7"/>
        <v>1</v>
      </c>
      <c r="L175">
        <f t="shared" si="8"/>
        <v>0</v>
      </c>
    </row>
    <row r="176" spans="1:12" x14ac:dyDescent="0.25">
      <c r="A176" t="s">
        <v>40</v>
      </c>
      <c r="B176">
        <v>5</v>
      </c>
      <c r="C176" s="1">
        <v>42637</v>
      </c>
      <c r="D176" s="2">
        <v>0.64583333333333337</v>
      </c>
      <c r="E176" t="s">
        <v>2</v>
      </c>
      <c r="F176" t="s">
        <v>27</v>
      </c>
      <c r="G176">
        <v>1</v>
      </c>
      <c r="H176">
        <v>0</v>
      </c>
      <c r="I176">
        <f t="shared" si="6"/>
        <v>1</v>
      </c>
      <c r="J176">
        <v>0</v>
      </c>
      <c r="K176">
        <f t="shared" si="7"/>
        <v>1</v>
      </c>
      <c r="L176">
        <f t="shared" si="8"/>
        <v>0</v>
      </c>
    </row>
    <row r="177" spans="1:12" x14ac:dyDescent="0.25">
      <c r="A177" t="s">
        <v>40</v>
      </c>
      <c r="B177">
        <v>6</v>
      </c>
      <c r="C177" s="1">
        <v>42644</v>
      </c>
      <c r="D177" s="2">
        <v>0.64583333333333337</v>
      </c>
      <c r="E177" t="s">
        <v>4</v>
      </c>
      <c r="F177" t="s">
        <v>5</v>
      </c>
      <c r="G177">
        <v>1</v>
      </c>
      <c r="H177">
        <v>1</v>
      </c>
      <c r="I177">
        <f t="shared" si="6"/>
        <v>0</v>
      </c>
      <c r="J177">
        <v>0</v>
      </c>
      <c r="K177">
        <f t="shared" si="7"/>
        <v>1</v>
      </c>
      <c r="L177">
        <f t="shared" si="8"/>
        <v>0</v>
      </c>
    </row>
    <row r="178" spans="1:12" x14ac:dyDescent="0.25">
      <c r="A178" t="s">
        <v>40</v>
      </c>
      <c r="B178">
        <v>7</v>
      </c>
      <c r="C178" s="1">
        <v>42658</v>
      </c>
      <c r="D178" s="2">
        <v>0.64583333333333337</v>
      </c>
      <c r="E178" t="s">
        <v>2</v>
      </c>
      <c r="F178" t="s">
        <v>10</v>
      </c>
      <c r="G178">
        <v>2</v>
      </c>
      <c r="H178">
        <v>2</v>
      </c>
      <c r="I178">
        <f t="shared" si="6"/>
        <v>0</v>
      </c>
      <c r="J178">
        <v>0</v>
      </c>
      <c r="K178">
        <f t="shared" si="7"/>
        <v>1</v>
      </c>
      <c r="L178">
        <f t="shared" si="8"/>
        <v>0</v>
      </c>
    </row>
    <row r="179" spans="1:12" x14ac:dyDescent="0.25">
      <c r="A179" t="s">
        <v>40</v>
      </c>
      <c r="B179">
        <v>8</v>
      </c>
      <c r="C179" s="1">
        <v>42665</v>
      </c>
      <c r="D179" s="2">
        <v>0.77083333333333337</v>
      </c>
      <c r="E179" t="s">
        <v>4</v>
      </c>
      <c r="F179" t="s">
        <v>3</v>
      </c>
      <c r="G179">
        <v>2</v>
      </c>
      <c r="H179">
        <v>0</v>
      </c>
      <c r="I179">
        <f t="shared" si="6"/>
        <v>1</v>
      </c>
      <c r="J179">
        <v>0</v>
      </c>
      <c r="K179">
        <f t="shared" si="7"/>
        <v>1</v>
      </c>
      <c r="L179">
        <f t="shared" si="8"/>
        <v>0</v>
      </c>
    </row>
    <row r="180" spans="1:12" x14ac:dyDescent="0.25">
      <c r="A180" t="s">
        <v>40</v>
      </c>
      <c r="B180">
        <v>9</v>
      </c>
      <c r="C180" s="1">
        <v>42672</v>
      </c>
      <c r="D180" s="2">
        <v>0.64583333333333337</v>
      </c>
      <c r="E180" t="s">
        <v>2</v>
      </c>
      <c r="F180" t="s">
        <v>15</v>
      </c>
      <c r="G180">
        <v>3</v>
      </c>
      <c r="H180">
        <v>1</v>
      </c>
      <c r="I180">
        <f t="shared" si="6"/>
        <v>1</v>
      </c>
      <c r="J180">
        <v>0</v>
      </c>
      <c r="K180">
        <f t="shared" si="7"/>
        <v>1</v>
      </c>
      <c r="L180">
        <f t="shared" si="8"/>
        <v>0</v>
      </c>
    </row>
    <row r="181" spans="1:12" x14ac:dyDescent="0.25">
      <c r="A181" t="s">
        <v>40</v>
      </c>
      <c r="B181">
        <v>10</v>
      </c>
      <c r="C181" s="1">
        <v>42679</v>
      </c>
      <c r="D181" s="2">
        <v>0.64583333333333337</v>
      </c>
      <c r="E181" t="s">
        <v>4</v>
      </c>
      <c r="F181" t="s">
        <v>12</v>
      </c>
      <c r="G181">
        <v>1</v>
      </c>
      <c r="H181">
        <v>1</v>
      </c>
      <c r="I181">
        <f t="shared" si="6"/>
        <v>0</v>
      </c>
      <c r="J181">
        <v>0</v>
      </c>
      <c r="K181">
        <f t="shared" si="7"/>
        <v>1</v>
      </c>
      <c r="L181">
        <f t="shared" si="8"/>
        <v>0</v>
      </c>
    </row>
    <row r="182" spans="1:12" x14ac:dyDescent="0.25">
      <c r="A182" t="s">
        <v>40</v>
      </c>
      <c r="B182">
        <v>11</v>
      </c>
      <c r="C182" s="1">
        <v>42693</v>
      </c>
      <c r="D182" s="2">
        <v>0.77083333333333337</v>
      </c>
      <c r="E182" t="s">
        <v>2</v>
      </c>
      <c r="F182" t="s">
        <v>17</v>
      </c>
      <c r="G182">
        <v>0</v>
      </c>
      <c r="H182">
        <v>1</v>
      </c>
      <c r="I182">
        <f t="shared" si="6"/>
        <v>0</v>
      </c>
      <c r="J182">
        <v>0</v>
      </c>
      <c r="K182">
        <f t="shared" si="7"/>
        <v>0</v>
      </c>
      <c r="L182">
        <f t="shared" si="8"/>
        <v>1</v>
      </c>
    </row>
    <row r="183" spans="1:12" x14ac:dyDescent="0.25">
      <c r="A183" t="s">
        <v>40</v>
      </c>
      <c r="B183">
        <v>12</v>
      </c>
      <c r="C183" s="1">
        <v>42700</v>
      </c>
      <c r="D183" s="2">
        <v>0.77083333333333337</v>
      </c>
      <c r="E183" t="s">
        <v>4</v>
      </c>
      <c r="F183" t="s">
        <v>11</v>
      </c>
      <c r="G183">
        <v>2</v>
      </c>
      <c r="H183">
        <v>1</v>
      </c>
      <c r="I183">
        <f t="shared" si="6"/>
        <v>1</v>
      </c>
      <c r="J183">
        <v>0</v>
      </c>
      <c r="K183">
        <f t="shared" si="7"/>
        <v>1</v>
      </c>
      <c r="L183">
        <f t="shared" si="8"/>
        <v>0</v>
      </c>
    </row>
    <row r="184" spans="1:12" x14ac:dyDescent="0.25">
      <c r="A184" t="s">
        <v>40</v>
      </c>
      <c r="B184">
        <v>13</v>
      </c>
      <c r="C184" s="1">
        <v>42706</v>
      </c>
      <c r="D184" s="2">
        <v>0.85416666666666663</v>
      </c>
      <c r="E184" t="s">
        <v>2</v>
      </c>
      <c r="F184" t="s">
        <v>18</v>
      </c>
      <c r="G184">
        <v>3</v>
      </c>
      <c r="H184">
        <v>1</v>
      </c>
      <c r="I184">
        <f t="shared" si="6"/>
        <v>1</v>
      </c>
      <c r="J184">
        <v>0</v>
      </c>
      <c r="K184">
        <f t="shared" si="7"/>
        <v>1</v>
      </c>
      <c r="L184">
        <f t="shared" si="8"/>
        <v>0</v>
      </c>
    </row>
    <row r="185" spans="1:12" x14ac:dyDescent="0.25">
      <c r="A185" t="s">
        <v>40</v>
      </c>
      <c r="B185">
        <v>14</v>
      </c>
      <c r="C185" s="1">
        <v>42714</v>
      </c>
      <c r="D185" s="2">
        <v>0.64583333333333337</v>
      </c>
      <c r="E185" t="s">
        <v>4</v>
      </c>
      <c r="F185" t="s">
        <v>20</v>
      </c>
      <c r="G185">
        <v>5</v>
      </c>
      <c r="H185">
        <v>0</v>
      </c>
      <c r="I185">
        <f t="shared" si="6"/>
        <v>1</v>
      </c>
      <c r="J185">
        <v>0</v>
      </c>
      <c r="K185">
        <f t="shared" si="7"/>
        <v>1</v>
      </c>
      <c r="L185">
        <f t="shared" si="8"/>
        <v>0</v>
      </c>
    </row>
    <row r="186" spans="1:12" x14ac:dyDescent="0.25">
      <c r="A186" t="s">
        <v>40</v>
      </c>
      <c r="B186">
        <v>15</v>
      </c>
      <c r="C186" s="1">
        <v>42722</v>
      </c>
      <c r="D186" s="2">
        <v>0.64583333333333337</v>
      </c>
      <c r="E186" t="s">
        <v>2</v>
      </c>
      <c r="F186" t="s">
        <v>29</v>
      </c>
      <c r="G186">
        <v>1</v>
      </c>
      <c r="H186">
        <v>0</v>
      </c>
      <c r="I186">
        <f t="shared" si="6"/>
        <v>1</v>
      </c>
      <c r="J186">
        <v>0</v>
      </c>
      <c r="K186">
        <f t="shared" si="7"/>
        <v>1</v>
      </c>
      <c r="L186">
        <f t="shared" si="8"/>
        <v>0</v>
      </c>
    </row>
    <row r="187" spans="1:12" x14ac:dyDescent="0.25">
      <c r="A187" t="s">
        <v>40</v>
      </c>
      <c r="B187">
        <v>16</v>
      </c>
      <c r="C187" s="1">
        <v>42725</v>
      </c>
      <c r="D187" s="2">
        <v>0.83333333333333337</v>
      </c>
      <c r="E187" t="s">
        <v>4</v>
      </c>
      <c r="F187" t="s">
        <v>7</v>
      </c>
      <c r="G187">
        <v>3</v>
      </c>
      <c r="H187">
        <v>0</v>
      </c>
      <c r="I187">
        <f t="shared" si="6"/>
        <v>1</v>
      </c>
      <c r="J187">
        <v>0</v>
      </c>
      <c r="K187">
        <f t="shared" si="7"/>
        <v>1</v>
      </c>
      <c r="L187">
        <f t="shared" si="8"/>
        <v>0</v>
      </c>
    </row>
    <row r="188" spans="1:12" x14ac:dyDescent="0.25">
      <c r="A188" t="s">
        <v>40</v>
      </c>
      <c r="B188">
        <v>17</v>
      </c>
      <c r="C188" s="1">
        <v>42755</v>
      </c>
      <c r="D188" s="2">
        <v>0.85416666666666663</v>
      </c>
      <c r="E188" t="s">
        <v>2</v>
      </c>
      <c r="F188" t="s">
        <v>14</v>
      </c>
      <c r="G188">
        <v>2</v>
      </c>
      <c r="H188">
        <v>1</v>
      </c>
      <c r="I188">
        <f t="shared" si="6"/>
        <v>1</v>
      </c>
      <c r="J188">
        <v>0</v>
      </c>
      <c r="K188">
        <f t="shared" si="7"/>
        <v>1</v>
      </c>
      <c r="L188">
        <f t="shared" si="8"/>
        <v>0</v>
      </c>
    </row>
    <row r="189" spans="1:12" x14ac:dyDescent="0.25">
      <c r="A189" t="s">
        <v>40</v>
      </c>
      <c r="B189">
        <v>18</v>
      </c>
      <c r="C189" s="1">
        <v>42763</v>
      </c>
      <c r="D189" s="2">
        <v>0.64583333333333337</v>
      </c>
      <c r="E189" t="s">
        <v>2</v>
      </c>
      <c r="F189" t="s">
        <v>22</v>
      </c>
      <c r="G189">
        <v>2</v>
      </c>
      <c r="H189">
        <v>1</v>
      </c>
      <c r="I189">
        <f t="shared" si="6"/>
        <v>1</v>
      </c>
      <c r="J189">
        <v>0</v>
      </c>
      <c r="K189">
        <f t="shared" si="7"/>
        <v>1</v>
      </c>
      <c r="L189">
        <f t="shared" si="8"/>
        <v>0</v>
      </c>
    </row>
    <row r="190" spans="1:12" x14ac:dyDescent="0.25">
      <c r="A190" t="s">
        <v>40</v>
      </c>
      <c r="B190">
        <v>19</v>
      </c>
      <c r="C190" s="1">
        <v>42770</v>
      </c>
      <c r="D190" s="2">
        <v>0.64583333333333337</v>
      </c>
      <c r="E190" t="s">
        <v>4</v>
      </c>
      <c r="F190" t="s">
        <v>21</v>
      </c>
      <c r="G190">
        <v>1</v>
      </c>
      <c r="H190">
        <v>1</v>
      </c>
      <c r="I190">
        <f t="shared" si="6"/>
        <v>0</v>
      </c>
      <c r="J190">
        <v>0</v>
      </c>
      <c r="K190">
        <f t="shared" si="7"/>
        <v>1</v>
      </c>
      <c r="L190">
        <f t="shared" si="8"/>
        <v>0</v>
      </c>
    </row>
    <row r="191" spans="1:12" x14ac:dyDescent="0.25">
      <c r="A191" t="s">
        <v>40</v>
      </c>
      <c r="B191">
        <v>20</v>
      </c>
      <c r="C191" s="1">
        <v>42777</v>
      </c>
      <c r="D191" s="2">
        <v>0.64583333333333337</v>
      </c>
      <c r="E191" t="s">
        <v>2</v>
      </c>
      <c r="F191" t="s">
        <v>28</v>
      </c>
      <c r="G191">
        <v>2</v>
      </c>
      <c r="H191">
        <v>0</v>
      </c>
      <c r="I191">
        <f t="shared" si="6"/>
        <v>1</v>
      </c>
      <c r="J191">
        <v>0</v>
      </c>
      <c r="K191">
        <f t="shared" si="7"/>
        <v>1</v>
      </c>
      <c r="L191">
        <f t="shared" si="8"/>
        <v>0</v>
      </c>
    </row>
    <row r="192" spans="1:12" x14ac:dyDescent="0.25">
      <c r="A192" t="s">
        <v>40</v>
      </c>
      <c r="B192">
        <v>21</v>
      </c>
      <c r="C192" s="1">
        <v>42784</v>
      </c>
      <c r="D192" s="2">
        <v>0.64583333333333337</v>
      </c>
      <c r="E192" t="s">
        <v>2</v>
      </c>
      <c r="F192" t="s">
        <v>6</v>
      </c>
      <c r="G192">
        <v>1</v>
      </c>
      <c r="H192">
        <v>1</v>
      </c>
      <c r="I192">
        <f t="shared" si="6"/>
        <v>0</v>
      </c>
      <c r="J192">
        <v>0</v>
      </c>
      <c r="K192">
        <f t="shared" si="7"/>
        <v>1</v>
      </c>
      <c r="L192">
        <f t="shared" si="8"/>
        <v>0</v>
      </c>
    </row>
    <row r="193" spans="1:12" x14ac:dyDescent="0.25">
      <c r="A193" t="s">
        <v>40</v>
      </c>
      <c r="B193">
        <v>22</v>
      </c>
      <c r="C193" s="1">
        <v>42791</v>
      </c>
      <c r="D193" s="2">
        <v>0.64583333333333337</v>
      </c>
      <c r="E193" t="s">
        <v>4</v>
      </c>
      <c r="F193" t="s">
        <v>27</v>
      </c>
      <c r="G193">
        <v>8</v>
      </c>
      <c r="H193">
        <v>0</v>
      </c>
      <c r="I193">
        <f t="shared" si="6"/>
        <v>1</v>
      </c>
      <c r="J193">
        <v>0</v>
      </c>
      <c r="K193">
        <f t="shared" si="7"/>
        <v>1</v>
      </c>
      <c r="L193">
        <f t="shared" si="8"/>
        <v>0</v>
      </c>
    </row>
    <row r="194" spans="1:12" x14ac:dyDescent="0.25">
      <c r="A194" t="s">
        <v>40</v>
      </c>
      <c r="B194">
        <v>23</v>
      </c>
      <c r="C194" s="1">
        <v>42798</v>
      </c>
      <c r="D194" s="2">
        <v>0.64583333333333337</v>
      </c>
      <c r="E194" t="s">
        <v>2</v>
      </c>
      <c r="F194" t="s">
        <v>5</v>
      </c>
      <c r="G194">
        <v>3</v>
      </c>
      <c r="H194">
        <v>0</v>
      </c>
      <c r="I194">
        <f t="shared" si="6"/>
        <v>1</v>
      </c>
      <c r="J194">
        <v>0</v>
      </c>
      <c r="K194">
        <f t="shared" si="7"/>
        <v>1</v>
      </c>
      <c r="L194">
        <f t="shared" si="8"/>
        <v>0</v>
      </c>
    </row>
    <row r="195" spans="1:12" x14ac:dyDescent="0.25">
      <c r="A195" t="s">
        <v>40</v>
      </c>
      <c r="B195">
        <v>24</v>
      </c>
      <c r="C195" s="1">
        <v>42805</v>
      </c>
      <c r="D195" s="2">
        <v>0.64583333333333337</v>
      </c>
      <c r="E195" t="s">
        <v>4</v>
      </c>
      <c r="F195" t="s">
        <v>10</v>
      </c>
      <c r="G195">
        <v>3</v>
      </c>
      <c r="H195">
        <v>0</v>
      </c>
      <c r="I195">
        <f t="shared" ref="I195:I258" si="9">IF(G195&gt;H195,1,0)</f>
        <v>1</v>
      </c>
      <c r="J195">
        <v>0</v>
      </c>
      <c r="K195">
        <f t="shared" ref="K195:K258" si="10">IF(G195&gt;=H195,1,0)</f>
        <v>1</v>
      </c>
      <c r="L195">
        <f t="shared" ref="L195:L258" si="11">IF(H195&gt;G195,1,0)</f>
        <v>0</v>
      </c>
    </row>
    <row r="196" spans="1:12" x14ac:dyDescent="0.25">
      <c r="A196" t="s">
        <v>40</v>
      </c>
      <c r="B196">
        <v>25</v>
      </c>
      <c r="C196" s="1">
        <v>42813</v>
      </c>
      <c r="D196" s="2">
        <v>0.72916666666666663</v>
      </c>
      <c r="E196" t="s">
        <v>2</v>
      </c>
      <c r="F196" t="s">
        <v>3</v>
      </c>
      <c r="G196">
        <v>1</v>
      </c>
      <c r="H196">
        <v>0</v>
      </c>
      <c r="I196">
        <f t="shared" si="9"/>
        <v>1</v>
      </c>
      <c r="J196">
        <v>0</v>
      </c>
      <c r="K196">
        <f t="shared" si="10"/>
        <v>1</v>
      </c>
      <c r="L196">
        <f t="shared" si="11"/>
        <v>0</v>
      </c>
    </row>
    <row r="197" spans="1:12" x14ac:dyDescent="0.25">
      <c r="A197" t="s">
        <v>40</v>
      </c>
      <c r="B197">
        <v>26</v>
      </c>
      <c r="C197" s="1">
        <v>42826</v>
      </c>
      <c r="D197" s="2">
        <v>0.64583333333333337</v>
      </c>
      <c r="E197" t="s">
        <v>4</v>
      </c>
      <c r="F197" t="s">
        <v>15</v>
      </c>
      <c r="G197">
        <v>6</v>
      </c>
      <c r="H197">
        <v>0</v>
      </c>
      <c r="I197">
        <f t="shared" si="9"/>
        <v>1</v>
      </c>
      <c r="J197">
        <v>0</v>
      </c>
      <c r="K197">
        <f t="shared" si="10"/>
        <v>1</v>
      </c>
      <c r="L197">
        <f t="shared" si="11"/>
        <v>0</v>
      </c>
    </row>
    <row r="198" spans="1:12" x14ac:dyDescent="0.25">
      <c r="A198" t="s">
        <v>40</v>
      </c>
      <c r="B198">
        <v>27</v>
      </c>
      <c r="C198" s="1">
        <v>42829</v>
      </c>
      <c r="D198" s="2">
        <v>0.83333333333333337</v>
      </c>
      <c r="E198" t="s">
        <v>2</v>
      </c>
      <c r="F198" t="s">
        <v>12</v>
      </c>
      <c r="G198">
        <v>0</v>
      </c>
      <c r="H198">
        <v>1</v>
      </c>
      <c r="I198">
        <f t="shared" si="9"/>
        <v>0</v>
      </c>
      <c r="J198">
        <v>0</v>
      </c>
      <c r="K198">
        <f t="shared" si="10"/>
        <v>0</v>
      </c>
      <c r="L198">
        <f t="shared" si="11"/>
        <v>1</v>
      </c>
    </row>
    <row r="199" spans="1:12" x14ac:dyDescent="0.25">
      <c r="A199" t="s">
        <v>40</v>
      </c>
      <c r="B199">
        <v>28</v>
      </c>
      <c r="C199" s="1">
        <v>42833</v>
      </c>
      <c r="D199" s="2">
        <v>0.77083333333333337</v>
      </c>
      <c r="E199" t="s">
        <v>4</v>
      </c>
      <c r="F199" t="s">
        <v>17</v>
      </c>
      <c r="G199">
        <v>4</v>
      </c>
      <c r="H199">
        <v>1</v>
      </c>
      <c r="I199">
        <f t="shared" si="9"/>
        <v>1</v>
      </c>
      <c r="J199">
        <v>0</v>
      </c>
      <c r="K199">
        <f t="shared" si="10"/>
        <v>1</v>
      </c>
      <c r="L199">
        <f t="shared" si="11"/>
        <v>0</v>
      </c>
    </row>
    <row r="200" spans="1:12" x14ac:dyDescent="0.25">
      <c r="A200" t="s">
        <v>40</v>
      </c>
      <c r="B200">
        <v>29</v>
      </c>
      <c r="C200" s="1">
        <v>42840</v>
      </c>
      <c r="D200" s="2">
        <v>0.77083333333333337</v>
      </c>
      <c r="E200" t="s">
        <v>2</v>
      </c>
      <c r="F200" t="s">
        <v>11</v>
      </c>
      <c r="G200">
        <v>0</v>
      </c>
      <c r="H200">
        <v>0</v>
      </c>
      <c r="I200">
        <f t="shared" si="9"/>
        <v>0</v>
      </c>
      <c r="J200">
        <v>0</v>
      </c>
      <c r="K200">
        <f t="shared" si="10"/>
        <v>1</v>
      </c>
      <c r="L200">
        <f t="shared" si="11"/>
        <v>0</v>
      </c>
    </row>
    <row r="201" spans="1:12" x14ac:dyDescent="0.25">
      <c r="A201" t="s">
        <v>40</v>
      </c>
      <c r="B201">
        <v>30</v>
      </c>
      <c r="C201" s="1">
        <v>42847</v>
      </c>
      <c r="D201" s="2">
        <v>0.64583333333333337</v>
      </c>
      <c r="E201" t="s">
        <v>4</v>
      </c>
      <c r="F201" t="s">
        <v>18</v>
      </c>
      <c r="G201">
        <v>2</v>
      </c>
      <c r="H201">
        <v>2</v>
      </c>
      <c r="I201">
        <f t="shared" si="9"/>
        <v>0</v>
      </c>
      <c r="J201">
        <v>0</v>
      </c>
      <c r="K201">
        <f t="shared" si="10"/>
        <v>1</v>
      </c>
      <c r="L201">
        <f t="shared" si="11"/>
        <v>0</v>
      </c>
    </row>
    <row r="202" spans="1:12" x14ac:dyDescent="0.25">
      <c r="A202" s="3" t="s">
        <v>40</v>
      </c>
      <c r="B202" s="3">
        <v>31</v>
      </c>
      <c r="C202" s="4">
        <v>42854</v>
      </c>
      <c r="D202" s="5">
        <v>0.77083333333333337</v>
      </c>
      <c r="E202" s="3" t="s">
        <v>2</v>
      </c>
      <c r="F202" s="3" t="s">
        <v>20</v>
      </c>
      <c r="G202" s="3">
        <v>6</v>
      </c>
      <c r="H202" s="3">
        <v>0</v>
      </c>
      <c r="I202" s="3">
        <f t="shared" si="9"/>
        <v>1</v>
      </c>
      <c r="J202" s="3">
        <v>0</v>
      </c>
      <c r="K202">
        <f t="shared" si="10"/>
        <v>1</v>
      </c>
      <c r="L202">
        <f t="shared" si="11"/>
        <v>0</v>
      </c>
    </row>
    <row r="203" spans="1:12" x14ac:dyDescent="0.25">
      <c r="A203" t="s">
        <v>40</v>
      </c>
      <c r="B203">
        <v>32</v>
      </c>
      <c r="C203" s="1">
        <v>42861</v>
      </c>
      <c r="D203" s="2">
        <v>0.64583333333333337</v>
      </c>
      <c r="E203" t="s">
        <v>4</v>
      </c>
      <c r="F203" t="s">
        <v>29</v>
      </c>
      <c r="G203">
        <v>1</v>
      </c>
      <c r="H203">
        <v>0</v>
      </c>
      <c r="I203">
        <f t="shared" si="9"/>
        <v>1</v>
      </c>
      <c r="J203">
        <v>1</v>
      </c>
      <c r="K203">
        <f t="shared" si="10"/>
        <v>1</v>
      </c>
      <c r="L203">
        <f t="shared" si="11"/>
        <v>0</v>
      </c>
    </row>
    <row r="204" spans="1:12" x14ac:dyDescent="0.25">
      <c r="A204" t="s">
        <v>40</v>
      </c>
      <c r="B204">
        <v>33</v>
      </c>
      <c r="C204" s="1">
        <v>42868</v>
      </c>
      <c r="D204" s="2">
        <v>0.64583333333333337</v>
      </c>
      <c r="E204" t="s">
        <v>2</v>
      </c>
      <c r="F204" t="s">
        <v>7</v>
      </c>
      <c r="G204">
        <v>5</v>
      </c>
      <c r="H204">
        <v>4</v>
      </c>
      <c r="I204">
        <f t="shared" si="9"/>
        <v>1</v>
      </c>
      <c r="J204">
        <v>1</v>
      </c>
      <c r="K204">
        <f t="shared" si="10"/>
        <v>1</v>
      </c>
      <c r="L204">
        <f t="shared" si="11"/>
        <v>0</v>
      </c>
    </row>
    <row r="205" spans="1:12" x14ac:dyDescent="0.25">
      <c r="A205" t="s">
        <v>40</v>
      </c>
      <c r="B205">
        <v>34</v>
      </c>
      <c r="C205" s="1">
        <v>42875</v>
      </c>
      <c r="D205" s="2">
        <v>0.64583333333333337</v>
      </c>
      <c r="E205" t="s">
        <v>4</v>
      </c>
      <c r="F205" t="s">
        <v>14</v>
      </c>
      <c r="G205">
        <v>4</v>
      </c>
      <c r="H205">
        <v>1</v>
      </c>
      <c r="I205">
        <f t="shared" si="9"/>
        <v>1</v>
      </c>
      <c r="J205">
        <v>1</v>
      </c>
      <c r="K205">
        <f t="shared" si="10"/>
        <v>1</v>
      </c>
      <c r="L205">
        <f t="shared" si="11"/>
        <v>0</v>
      </c>
    </row>
    <row r="206" spans="1:12" x14ac:dyDescent="0.25">
      <c r="A206" t="s">
        <v>41</v>
      </c>
      <c r="B206">
        <v>1</v>
      </c>
      <c r="C206" s="1">
        <v>42230</v>
      </c>
      <c r="D206" s="2">
        <v>0.85416666666666663</v>
      </c>
      <c r="E206" t="s">
        <v>4</v>
      </c>
      <c r="F206" t="s">
        <v>27</v>
      </c>
      <c r="G206">
        <v>5</v>
      </c>
      <c r="H206">
        <v>0</v>
      </c>
      <c r="I206">
        <f t="shared" si="9"/>
        <v>1</v>
      </c>
      <c r="J206">
        <v>0</v>
      </c>
      <c r="K206">
        <f t="shared" si="10"/>
        <v>1</v>
      </c>
      <c r="L206">
        <f t="shared" si="11"/>
        <v>0</v>
      </c>
    </row>
    <row r="207" spans="1:12" x14ac:dyDescent="0.25">
      <c r="A207" t="s">
        <v>41</v>
      </c>
      <c r="B207">
        <v>2</v>
      </c>
      <c r="C207" s="1">
        <v>42238</v>
      </c>
      <c r="D207" s="2">
        <v>0.64583333333333337</v>
      </c>
      <c r="E207" t="s">
        <v>2</v>
      </c>
      <c r="F207" t="s">
        <v>12</v>
      </c>
      <c r="G207">
        <v>2</v>
      </c>
      <c r="H207">
        <v>1</v>
      </c>
      <c r="I207">
        <f t="shared" si="9"/>
        <v>1</v>
      </c>
      <c r="J207">
        <v>0</v>
      </c>
      <c r="K207">
        <f t="shared" si="10"/>
        <v>1</v>
      </c>
      <c r="L207">
        <f t="shared" si="11"/>
        <v>0</v>
      </c>
    </row>
    <row r="208" spans="1:12" x14ac:dyDescent="0.25">
      <c r="A208" t="s">
        <v>41</v>
      </c>
      <c r="B208">
        <v>3</v>
      </c>
      <c r="C208" s="1">
        <v>42245</v>
      </c>
      <c r="D208" s="2">
        <v>0.77083333333333337</v>
      </c>
      <c r="E208" t="s">
        <v>4</v>
      </c>
      <c r="F208" t="s">
        <v>11</v>
      </c>
      <c r="G208">
        <v>3</v>
      </c>
      <c r="H208">
        <v>0</v>
      </c>
      <c r="I208">
        <f t="shared" si="9"/>
        <v>1</v>
      </c>
      <c r="J208">
        <v>0</v>
      </c>
      <c r="K208">
        <f t="shared" si="10"/>
        <v>1</v>
      </c>
      <c r="L208">
        <f t="shared" si="11"/>
        <v>0</v>
      </c>
    </row>
    <row r="209" spans="1:12" x14ac:dyDescent="0.25">
      <c r="A209" t="s">
        <v>41</v>
      </c>
      <c r="B209">
        <v>4</v>
      </c>
      <c r="C209" s="1">
        <v>42259</v>
      </c>
      <c r="D209" s="2">
        <v>0.64583333333333337</v>
      </c>
      <c r="E209" t="s">
        <v>4</v>
      </c>
      <c r="F209" t="s">
        <v>15</v>
      </c>
      <c r="G209">
        <v>2</v>
      </c>
      <c r="H209">
        <v>1</v>
      </c>
      <c r="I209">
        <f t="shared" si="9"/>
        <v>1</v>
      </c>
      <c r="J209">
        <v>0</v>
      </c>
      <c r="K209">
        <f t="shared" si="10"/>
        <v>1</v>
      </c>
      <c r="L209">
        <f t="shared" si="11"/>
        <v>0</v>
      </c>
    </row>
    <row r="210" spans="1:12" x14ac:dyDescent="0.25">
      <c r="A210" t="s">
        <v>41</v>
      </c>
      <c r="B210">
        <v>5</v>
      </c>
      <c r="C210" s="1">
        <v>42266</v>
      </c>
      <c r="D210" s="2">
        <v>0.64583333333333337</v>
      </c>
      <c r="E210" t="s">
        <v>2</v>
      </c>
      <c r="F210" t="s">
        <v>29</v>
      </c>
      <c r="G210">
        <v>3</v>
      </c>
      <c r="H210">
        <v>0</v>
      </c>
      <c r="I210">
        <f t="shared" si="9"/>
        <v>1</v>
      </c>
      <c r="J210">
        <v>0</v>
      </c>
      <c r="K210">
        <f t="shared" si="10"/>
        <v>1</v>
      </c>
      <c r="L210">
        <f t="shared" si="11"/>
        <v>0</v>
      </c>
    </row>
    <row r="211" spans="1:12" x14ac:dyDescent="0.25">
      <c r="A211" t="s">
        <v>41</v>
      </c>
      <c r="B211">
        <v>6</v>
      </c>
      <c r="C211" s="1">
        <v>42269</v>
      </c>
      <c r="D211" s="2">
        <v>0.83333333333333337</v>
      </c>
      <c r="E211" t="s">
        <v>4</v>
      </c>
      <c r="F211" t="s">
        <v>20</v>
      </c>
      <c r="G211">
        <v>5</v>
      </c>
      <c r="H211">
        <v>1</v>
      </c>
      <c r="I211">
        <f t="shared" si="9"/>
        <v>1</v>
      </c>
      <c r="J211">
        <v>0</v>
      </c>
      <c r="K211">
        <f t="shared" si="10"/>
        <v>1</v>
      </c>
      <c r="L211">
        <f t="shared" si="11"/>
        <v>0</v>
      </c>
    </row>
    <row r="212" spans="1:12" x14ac:dyDescent="0.25">
      <c r="A212" t="s">
        <v>41</v>
      </c>
      <c r="B212">
        <v>7</v>
      </c>
      <c r="C212" s="1">
        <v>42273</v>
      </c>
      <c r="D212" s="2">
        <v>0.64583333333333337</v>
      </c>
      <c r="E212" t="s">
        <v>2</v>
      </c>
      <c r="F212" t="s">
        <v>18</v>
      </c>
      <c r="G212">
        <v>3</v>
      </c>
      <c r="H212">
        <v>0</v>
      </c>
      <c r="I212">
        <f t="shared" si="9"/>
        <v>1</v>
      </c>
      <c r="J212">
        <v>0</v>
      </c>
      <c r="K212">
        <f t="shared" si="10"/>
        <v>1</v>
      </c>
      <c r="L212">
        <f t="shared" si="11"/>
        <v>0</v>
      </c>
    </row>
    <row r="213" spans="1:12" x14ac:dyDescent="0.25">
      <c r="A213" t="s">
        <v>41</v>
      </c>
      <c r="B213">
        <v>8</v>
      </c>
      <c r="C213" s="1">
        <v>42281</v>
      </c>
      <c r="D213" s="2">
        <v>0.72916666666666663</v>
      </c>
      <c r="E213" t="s">
        <v>4</v>
      </c>
      <c r="F213" t="s">
        <v>17</v>
      </c>
      <c r="G213">
        <v>5</v>
      </c>
      <c r="H213">
        <v>1</v>
      </c>
      <c r="I213">
        <f t="shared" si="9"/>
        <v>1</v>
      </c>
      <c r="J213">
        <v>0</v>
      </c>
      <c r="K213">
        <f t="shared" si="10"/>
        <v>1</v>
      </c>
      <c r="L213">
        <f t="shared" si="11"/>
        <v>0</v>
      </c>
    </row>
    <row r="214" spans="1:12" x14ac:dyDescent="0.25">
      <c r="A214" t="s">
        <v>41</v>
      </c>
      <c r="B214">
        <v>9</v>
      </c>
      <c r="C214" s="1">
        <v>42294</v>
      </c>
      <c r="D214" s="2">
        <v>0.64583333333333337</v>
      </c>
      <c r="E214" t="s">
        <v>2</v>
      </c>
      <c r="F214" t="s">
        <v>22</v>
      </c>
      <c r="G214">
        <v>1</v>
      </c>
      <c r="H214">
        <v>0</v>
      </c>
      <c r="I214">
        <f t="shared" si="9"/>
        <v>1</v>
      </c>
      <c r="J214">
        <v>0</v>
      </c>
      <c r="K214">
        <f t="shared" si="10"/>
        <v>1</v>
      </c>
      <c r="L214">
        <f t="shared" si="11"/>
        <v>0</v>
      </c>
    </row>
    <row r="215" spans="1:12" x14ac:dyDescent="0.25">
      <c r="A215" t="s">
        <v>41</v>
      </c>
      <c r="B215">
        <v>10</v>
      </c>
      <c r="C215" s="1">
        <v>42301</v>
      </c>
      <c r="D215" s="2">
        <v>0.64583333333333337</v>
      </c>
      <c r="E215" t="s">
        <v>4</v>
      </c>
      <c r="F215" t="s">
        <v>5</v>
      </c>
      <c r="G215">
        <v>4</v>
      </c>
      <c r="H215">
        <v>0</v>
      </c>
      <c r="I215">
        <f t="shared" si="9"/>
        <v>1</v>
      </c>
      <c r="J215">
        <v>0</v>
      </c>
      <c r="K215">
        <f t="shared" si="10"/>
        <v>1</v>
      </c>
      <c r="L215">
        <f t="shared" si="11"/>
        <v>0</v>
      </c>
    </row>
    <row r="216" spans="1:12" x14ac:dyDescent="0.25">
      <c r="A216" t="s">
        <v>41</v>
      </c>
      <c r="B216">
        <v>11</v>
      </c>
      <c r="C216" s="1">
        <v>42307</v>
      </c>
      <c r="D216" s="2">
        <v>0.85416666666666663</v>
      </c>
      <c r="E216" t="s">
        <v>2</v>
      </c>
      <c r="F216" t="s">
        <v>10</v>
      </c>
      <c r="G216">
        <v>0</v>
      </c>
      <c r="H216">
        <v>0</v>
      </c>
      <c r="I216">
        <f t="shared" si="9"/>
        <v>0</v>
      </c>
      <c r="J216">
        <v>0</v>
      </c>
      <c r="K216">
        <f t="shared" si="10"/>
        <v>1</v>
      </c>
      <c r="L216">
        <f t="shared" si="11"/>
        <v>0</v>
      </c>
    </row>
    <row r="217" spans="1:12" x14ac:dyDescent="0.25">
      <c r="A217" t="s">
        <v>41</v>
      </c>
      <c r="B217">
        <v>12</v>
      </c>
      <c r="C217" s="1">
        <v>42315</v>
      </c>
      <c r="D217" s="2">
        <v>0.64583333333333337</v>
      </c>
      <c r="E217" t="s">
        <v>4</v>
      </c>
      <c r="F217" t="s">
        <v>19</v>
      </c>
      <c r="G217">
        <v>4</v>
      </c>
      <c r="H217">
        <v>0</v>
      </c>
      <c r="I217">
        <f t="shared" si="9"/>
        <v>1</v>
      </c>
      <c r="J217">
        <v>0</v>
      </c>
      <c r="K217">
        <f t="shared" si="10"/>
        <v>1</v>
      </c>
      <c r="L217">
        <f t="shared" si="11"/>
        <v>0</v>
      </c>
    </row>
    <row r="218" spans="1:12" x14ac:dyDescent="0.25">
      <c r="A218" t="s">
        <v>41</v>
      </c>
      <c r="B218">
        <v>13</v>
      </c>
      <c r="C218" s="1">
        <v>42329</v>
      </c>
      <c r="D218" s="2">
        <v>0.77083333333333337</v>
      </c>
      <c r="E218" t="s">
        <v>2</v>
      </c>
      <c r="F218" t="s">
        <v>21</v>
      </c>
      <c r="G218">
        <v>3</v>
      </c>
      <c r="H218">
        <v>1</v>
      </c>
      <c r="I218">
        <f t="shared" si="9"/>
        <v>1</v>
      </c>
      <c r="J218">
        <v>0</v>
      </c>
      <c r="K218">
        <f t="shared" si="10"/>
        <v>1</v>
      </c>
      <c r="L218">
        <f t="shared" si="11"/>
        <v>0</v>
      </c>
    </row>
    <row r="219" spans="1:12" x14ac:dyDescent="0.25">
      <c r="A219" t="s">
        <v>41</v>
      </c>
      <c r="B219">
        <v>14</v>
      </c>
      <c r="C219" s="1">
        <v>42336</v>
      </c>
      <c r="D219" s="2">
        <v>0.64583333333333337</v>
      </c>
      <c r="E219" t="s">
        <v>4</v>
      </c>
      <c r="F219" t="s">
        <v>6</v>
      </c>
      <c r="G219">
        <v>2</v>
      </c>
      <c r="H219">
        <v>0</v>
      </c>
      <c r="I219">
        <f t="shared" si="9"/>
        <v>1</v>
      </c>
      <c r="J219">
        <v>0</v>
      </c>
      <c r="K219">
        <f t="shared" si="10"/>
        <v>1</v>
      </c>
      <c r="L219">
        <f t="shared" si="11"/>
        <v>0</v>
      </c>
    </row>
    <row r="220" spans="1:12" x14ac:dyDescent="0.25">
      <c r="A220" t="s">
        <v>41</v>
      </c>
      <c r="B220">
        <v>15</v>
      </c>
      <c r="C220" s="1">
        <v>42343</v>
      </c>
      <c r="D220" s="2">
        <v>0.64583333333333337</v>
      </c>
      <c r="E220" t="s">
        <v>2</v>
      </c>
      <c r="F220" t="s">
        <v>3</v>
      </c>
      <c r="G220">
        <v>1</v>
      </c>
      <c r="H220">
        <v>3</v>
      </c>
      <c r="I220">
        <f t="shared" si="9"/>
        <v>0</v>
      </c>
      <c r="J220">
        <v>0</v>
      </c>
      <c r="K220">
        <f t="shared" si="10"/>
        <v>0</v>
      </c>
      <c r="L220">
        <f t="shared" si="11"/>
        <v>1</v>
      </c>
    </row>
    <row r="221" spans="1:12" x14ac:dyDescent="0.25">
      <c r="A221" t="s">
        <v>41</v>
      </c>
      <c r="B221">
        <v>16</v>
      </c>
      <c r="C221" s="1">
        <v>42350</v>
      </c>
      <c r="D221" s="2">
        <v>0.64583333333333337</v>
      </c>
      <c r="E221" t="s">
        <v>4</v>
      </c>
      <c r="F221" t="s">
        <v>28</v>
      </c>
      <c r="G221">
        <v>2</v>
      </c>
      <c r="H221">
        <v>0</v>
      </c>
      <c r="I221">
        <f t="shared" si="9"/>
        <v>1</v>
      </c>
      <c r="J221">
        <v>0</v>
      </c>
      <c r="K221">
        <f t="shared" si="10"/>
        <v>1</v>
      </c>
      <c r="L221">
        <f t="shared" si="11"/>
        <v>0</v>
      </c>
    </row>
    <row r="222" spans="1:12" x14ac:dyDescent="0.25">
      <c r="A222" t="s">
        <v>41</v>
      </c>
      <c r="B222">
        <v>17</v>
      </c>
      <c r="C222" s="1">
        <v>42357</v>
      </c>
      <c r="D222" s="2">
        <v>0.64583333333333337</v>
      </c>
      <c r="E222" t="s">
        <v>2</v>
      </c>
      <c r="F222" t="s">
        <v>26</v>
      </c>
      <c r="G222">
        <v>1</v>
      </c>
      <c r="H222">
        <v>0</v>
      </c>
      <c r="I222">
        <f t="shared" si="9"/>
        <v>1</v>
      </c>
      <c r="J222">
        <v>0</v>
      </c>
      <c r="K222">
        <f t="shared" si="10"/>
        <v>1</v>
      </c>
      <c r="L222">
        <f t="shared" si="11"/>
        <v>0</v>
      </c>
    </row>
    <row r="223" spans="1:12" x14ac:dyDescent="0.25">
      <c r="A223" t="s">
        <v>41</v>
      </c>
      <c r="B223">
        <v>18</v>
      </c>
      <c r="C223" s="1">
        <v>42391</v>
      </c>
      <c r="D223" s="2">
        <v>0.85416666666666663</v>
      </c>
      <c r="E223" t="s">
        <v>2</v>
      </c>
      <c r="F223" t="s">
        <v>27</v>
      </c>
      <c r="G223">
        <v>2</v>
      </c>
      <c r="H223">
        <v>1</v>
      </c>
      <c r="I223">
        <f t="shared" si="9"/>
        <v>1</v>
      </c>
      <c r="J223">
        <v>0</v>
      </c>
      <c r="K223">
        <f t="shared" si="10"/>
        <v>1</v>
      </c>
      <c r="L223">
        <f t="shared" si="11"/>
        <v>0</v>
      </c>
    </row>
    <row r="224" spans="1:12" x14ac:dyDescent="0.25">
      <c r="A224" t="s">
        <v>41</v>
      </c>
      <c r="B224">
        <v>19</v>
      </c>
      <c r="C224" s="1">
        <v>42400</v>
      </c>
      <c r="D224" s="2">
        <v>0.72916666666666663</v>
      </c>
      <c r="E224" t="s">
        <v>4</v>
      </c>
      <c r="F224" t="s">
        <v>12</v>
      </c>
      <c r="G224">
        <v>2</v>
      </c>
      <c r="H224">
        <v>0</v>
      </c>
      <c r="I224">
        <f t="shared" si="9"/>
        <v>1</v>
      </c>
      <c r="J224">
        <v>0</v>
      </c>
      <c r="K224">
        <f t="shared" si="10"/>
        <v>1</v>
      </c>
      <c r="L224">
        <f t="shared" si="11"/>
        <v>0</v>
      </c>
    </row>
    <row r="225" spans="1:12" x14ac:dyDescent="0.25">
      <c r="A225" t="s">
        <v>41</v>
      </c>
      <c r="B225">
        <v>20</v>
      </c>
      <c r="C225" s="1">
        <v>42406</v>
      </c>
      <c r="D225" s="2">
        <v>0.77083333333333337</v>
      </c>
      <c r="E225" t="s">
        <v>2</v>
      </c>
      <c r="F225" t="s">
        <v>11</v>
      </c>
      <c r="G225">
        <v>0</v>
      </c>
      <c r="H225">
        <v>0</v>
      </c>
      <c r="I225">
        <f t="shared" si="9"/>
        <v>0</v>
      </c>
      <c r="J225">
        <v>0</v>
      </c>
      <c r="K225">
        <f t="shared" si="10"/>
        <v>1</v>
      </c>
      <c r="L225">
        <f t="shared" si="11"/>
        <v>0</v>
      </c>
    </row>
    <row r="226" spans="1:12" x14ac:dyDescent="0.25">
      <c r="A226" t="s">
        <v>41</v>
      </c>
      <c r="B226">
        <v>21</v>
      </c>
      <c r="C226" s="1">
        <v>42414</v>
      </c>
      <c r="D226" s="2">
        <v>0.72916666666666663</v>
      </c>
      <c r="E226" t="s">
        <v>2</v>
      </c>
      <c r="F226" t="s">
        <v>15</v>
      </c>
      <c r="G226">
        <v>3</v>
      </c>
      <c r="H226">
        <v>1</v>
      </c>
      <c r="I226">
        <f t="shared" si="9"/>
        <v>1</v>
      </c>
      <c r="J226">
        <v>0</v>
      </c>
      <c r="K226">
        <f t="shared" si="10"/>
        <v>1</v>
      </c>
      <c r="L226">
        <f t="shared" si="11"/>
        <v>0</v>
      </c>
    </row>
    <row r="227" spans="1:12" x14ac:dyDescent="0.25">
      <c r="A227" t="s">
        <v>41</v>
      </c>
      <c r="B227">
        <v>22</v>
      </c>
      <c r="C227" s="1">
        <v>42420</v>
      </c>
      <c r="D227" s="2">
        <v>0.64583333333333337</v>
      </c>
      <c r="E227" t="s">
        <v>4</v>
      </c>
      <c r="F227" t="s">
        <v>29</v>
      </c>
      <c r="G227">
        <v>3</v>
      </c>
      <c r="H227">
        <v>1</v>
      </c>
      <c r="I227">
        <f t="shared" si="9"/>
        <v>1</v>
      </c>
      <c r="J227">
        <v>0</v>
      </c>
      <c r="K227">
        <f t="shared" si="10"/>
        <v>1</v>
      </c>
      <c r="L227">
        <f t="shared" si="11"/>
        <v>0</v>
      </c>
    </row>
    <row r="228" spans="1:12" x14ac:dyDescent="0.25">
      <c r="A228" t="s">
        <v>41</v>
      </c>
      <c r="B228">
        <v>23</v>
      </c>
      <c r="C228" s="1">
        <v>42427</v>
      </c>
      <c r="D228" s="2">
        <v>0.64583333333333337</v>
      </c>
      <c r="E228" t="s">
        <v>2</v>
      </c>
      <c r="F228" t="s">
        <v>20</v>
      </c>
      <c r="G228">
        <v>2</v>
      </c>
      <c r="H228">
        <v>0</v>
      </c>
      <c r="I228">
        <f t="shared" si="9"/>
        <v>1</v>
      </c>
      <c r="J228">
        <v>0</v>
      </c>
      <c r="K228">
        <f t="shared" si="10"/>
        <v>1</v>
      </c>
      <c r="L228">
        <f t="shared" si="11"/>
        <v>0</v>
      </c>
    </row>
    <row r="229" spans="1:12" x14ac:dyDescent="0.25">
      <c r="A229" t="s">
        <v>41</v>
      </c>
      <c r="B229">
        <v>24</v>
      </c>
      <c r="C229" s="1">
        <v>42431</v>
      </c>
      <c r="D229" s="2">
        <v>0.83333333333333337</v>
      </c>
      <c r="E229" t="s">
        <v>4</v>
      </c>
      <c r="F229" t="s">
        <v>18</v>
      </c>
      <c r="G229">
        <v>1</v>
      </c>
      <c r="H229">
        <v>2</v>
      </c>
      <c r="I229">
        <f t="shared" si="9"/>
        <v>0</v>
      </c>
      <c r="J229">
        <v>0</v>
      </c>
      <c r="K229">
        <f t="shared" si="10"/>
        <v>0</v>
      </c>
      <c r="L229">
        <f t="shared" si="11"/>
        <v>1</v>
      </c>
    </row>
    <row r="230" spans="1:12" x14ac:dyDescent="0.25">
      <c r="A230" t="s">
        <v>41</v>
      </c>
      <c r="B230">
        <v>25</v>
      </c>
      <c r="C230" s="1">
        <v>42434</v>
      </c>
      <c r="D230" s="2">
        <v>0.77083333333333337</v>
      </c>
      <c r="E230" t="s">
        <v>2</v>
      </c>
      <c r="F230" t="s">
        <v>17</v>
      </c>
      <c r="G230">
        <v>0</v>
      </c>
      <c r="H230">
        <v>0</v>
      </c>
      <c r="I230">
        <f t="shared" si="9"/>
        <v>0</v>
      </c>
      <c r="J230">
        <v>0</v>
      </c>
      <c r="K230">
        <f t="shared" si="10"/>
        <v>1</v>
      </c>
      <c r="L230">
        <f t="shared" si="11"/>
        <v>0</v>
      </c>
    </row>
    <row r="231" spans="1:12" x14ac:dyDescent="0.25">
      <c r="A231" t="s">
        <v>41</v>
      </c>
      <c r="B231">
        <v>26</v>
      </c>
      <c r="C231" s="1">
        <v>42441</v>
      </c>
      <c r="D231" s="2">
        <v>0.77083333333333337</v>
      </c>
      <c r="E231" t="s">
        <v>4</v>
      </c>
      <c r="F231" t="s">
        <v>22</v>
      </c>
      <c r="G231">
        <v>5</v>
      </c>
      <c r="H231">
        <v>0</v>
      </c>
      <c r="I231">
        <f t="shared" si="9"/>
        <v>1</v>
      </c>
      <c r="J231">
        <v>0</v>
      </c>
      <c r="K231">
        <f t="shared" si="10"/>
        <v>1</v>
      </c>
      <c r="L231">
        <f t="shared" si="11"/>
        <v>0</v>
      </c>
    </row>
    <row r="232" spans="1:12" x14ac:dyDescent="0.25">
      <c r="A232" t="s">
        <v>41</v>
      </c>
      <c r="B232">
        <v>27</v>
      </c>
      <c r="C232" s="1">
        <v>42448</v>
      </c>
      <c r="D232" s="2">
        <v>0.64583333333333337</v>
      </c>
      <c r="E232" t="s">
        <v>2</v>
      </c>
      <c r="F232" t="s">
        <v>5</v>
      </c>
      <c r="G232">
        <v>1</v>
      </c>
      <c r="H232">
        <v>0</v>
      </c>
      <c r="I232">
        <f t="shared" si="9"/>
        <v>1</v>
      </c>
      <c r="J232">
        <v>0</v>
      </c>
      <c r="K232">
        <f t="shared" si="10"/>
        <v>1</v>
      </c>
      <c r="L232">
        <f t="shared" si="11"/>
        <v>0</v>
      </c>
    </row>
    <row r="233" spans="1:12" x14ac:dyDescent="0.25">
      <c r="A233" t="s">
        <v>41</v>
      </c>
      <c r="B233">
        <v>28</v>
      </c>
      <c r="C233" s="1">
        <v>42462</v>
      </c>
      <c r="D233" s="2">
        <v>0.64583333333333337</v>
      </c>
      <c r="E233" t="s">
        <v>4</v>
      </c>
      <c r="F233" t="s">
        <v>10</v>
      </c>
      <c r="G233">
        <v>1</v>
      </c>
      <c r="H233">
        <v>0</v>
      </c>
      <c r="I233">
        <f t="shared" si="9"/>
        <v>1</v>
      </c>
      <c r="J233">
        <v>0</v>
      </c>
      <c r="K233">
        <f t="shared" si="10"/>
        <v>1</v>
      </c>
      <c r="L233">
        <f t="shared" si="11"/>
        <v>0</v>
      </c>
    </row>
    <row r="234" spans="1:12" x14ac:dyDescent="0.25">
      <c r="A234" t="s">
        <v>41</v>
      </c>
      <c r="B234">
        <v>29</v>
      </c>
      <c r="C234" s="1">
        <v>42469</v>
      </c>
      <c r="D234" s="2">
        <v>0.64583333333333337</v>
      </c>
      <c r="E234" t="s">
        <v>2</v>
      </c>
      <c r="F234" t="s">
        <v>19</v>
      </c>
      <c r="G234">
        <v>3</v>
      </c>
      <c r="H234">
        <v>1</v>
      </c>
      <c r="I234">
        <f t="shared" si="9"/>
        <v>1</v>
      </c>
      <c r="J234">
        <v>0</v>
      </c>
      <c r="K234">
        <f t="shared" si="10"/>
        <v>1</v>
      </c>
      <c r="L234">
        <f t="shared" si="11"/>
        <v>0</v>
      </c>
    </row>
    <row r="235" spans="1:12" x14ac:dyDescent="0.25">
      <c r="A235" t="s">
        <v>41</v>
      </c>
      <c r="B235">
        <v>30</v>
      </c>
      <c r="C235" s="1">
        <v>42476</v>
      </c>
      <c r="D235" s="2">
        <v>0.77083333333333337</v>
      </c>
      <c r="E235" t="s">
        <v>4</v>
      </c>
      <c r="F235" t="s">
        <v>21</v>
      </c>
      <c r="G235">
        <v>3</v>
      </c>
      <c r="H235">
        <v>0</v>
      </c>
      <c r="I235">
        <f t="shared" si="9"/>
        <v>1</v>
      </c>
      <c r="J235">
        <v>0</v>
      </c>
      <c r="K235">
        <f t="shared" si="10"/>
        <v>1</v>
      </c>
      <c r="L235">
        <f t="shared" si="11"/>
        <v>0</v>
      </c>
    </row>
    <row r="236" spans="1:12" x14ac:dyDescent="0.25">
      <c r="A236" t="s">
        <v>41</v>
      </c>
      <c r="B236">
        <v>31</v>
      </c>
      <c r="C236" s="1">
        <v>42483</v>
      </c>
      <c r="D236" s="2">
        <v>0.64583333333333337</v>
      </c>
      <c r="E236" t="s">
        <v>2</v>
      </c>
      <c r="F236" t="s">
        <v>6</v>
      </c>
      <c r="G236">
        <v>2</v>
      </c>
      <c r="H236">
        <v>0</v>
      </c>
      <c r="I236">
        <f t="shared" si="9"/>
        <v>1</v>
      </c>
      <c r="J236">
        <v>0</v>
      </c>
      <c r="K236">
        <f t="shared" si="10"/>
        <v>1</v>
      </c>
      <c r="L236">
        <f t="shared" si="11"/>
        <v>0</v>
      </c>
    </row>
    <row r="237" spans="1:12" x14ac:dyDescent="0.25">
      <c r="A237" t="s">
        <v>41</v>
      </c>
      <c r="B237">
        <v>32</v>
      </c>
      <c r="C237" s="1">
        <v>42490</v>
      </c>
      <c r="D237" s="2">
        <v>0.64583333333333337</v>
      </c>
      <c r="E237" t="s">
        <v>4</v>
      </c>
      <c r="F237" t="s">
        <v>3</v>
      </c>
      <c r="G237">
        <v>1</v>
      </c>
      <c r="H237">
        <v>1</v>
      </c>
      <c r="I237">
        <f t="shared" si="9"/>
        <v>0</v>
      </c>
      <c r="J237">
        <v>0</v>
      </c>
      <c r="K237">
        <f t="shared" si="10"/>
        <v>1</v>
      </c>
      <c r="L237">
        <f t="shared" si="11"/>
        <v>0</v>
      </c>
    </row>
    <row r="238" spans="1:12" x14ac:dyDescent="0.25">
      <c r="A238" s="3" t="s">
        <v>41</v>
      </c>
      <c r="B238" s="3">
        <v>33</v>
      </c>
      <c r="C238" s="4">
        <v>42497</v>
      </c>
      <c r="D238" s="5">
        <v>0.64583333333333337</v>
      </c>
      <c r="E238" s="3" t="s">
        <v>2</v>
      </c>
      <c r="F238" s="3" t="s">
        <v>28</v>
      </c>
      <c r="G238" s="3">
        <v>2</v>
      </c>
      <c r="H238" s="3">
        <v>1</v>
      </c>
      <c r="I238" s="3">
        <f t="shared" si="9"/>
        <v>1</v>
      </c>
      <c r="J238" s="3">
        <v>0</v>
      </c>
      <c r="K238">
        <f t="shared" si="10"/>
        <v>1</v>
      </c>
      <c r="L238">
        <f t="shared" si="11"/>
        <v>0</v>
      </c>
    </row>
    <row r="239" spans="1:12" x14ac:dyDescent="0.25">
      <c r="A239" t="s">
        <v>41</v>
      </c>
      <c r="B239">
        <v>34</v>
      </c>
      <c r="C239" s="1">
        <v>42504</v>
      </c>
      <c r="D239" s="2">
        <v>0.64583333333333337</v>
      </c>
      <c r="E239" t="s">
        <v>4</v>
      </c>
      <c r="F239" t="s">
        <v>26</v>
      </c>
      <c r="G239">
        <v>3</v>
      </c>
      <c r="H239">
        <v>1</v>
      </c>
      <c r="I239">
        <f t="shared" si="9"/>
        <v>1</v>
      </c>
      <c r="J239">
        <v>1</v>
      </c>
      <c r="K239">
        <f t="shared" si="10"/>
        <v>1</v>
      </c>
      <c r="L239">
        <f t="shared" si="11"/>
        <v>0</v>
      </c>
    </row>
    <row r="240" spans="1:12" x14ac:dyDescent="0.25">
      <c r="A240" t="s">
        <v>42</v>
      </c>
      <c r="B240">
        <v>1</v>
      </c>
      <c r="C240" s="1">
        <v>41873</v>
      </c>
      <c r="D240" s="2">
        <v>0.85416666666666663</v>
      </c>
      <c r="E240" t="s">
        <v>4</v>
      </c>
      <c r="F240" t="s">
        <v>20</v>
      </c>
      <c r="G240">
        <v>2</v>
      </c>
      <c r="H240">
        <v>1</v>
      </c>
      <c r="I240">
        <f t="shared" si="9"/>
        <v>1</v>
      </c>
      <c r="J240">
        <v>0</v>
      </c>
      <c r="K240">
        <f t="shared" si="10"/>
        <v>1</v>
      </c>
      <c r="L240">
        <f t="shared" si="11"/>
        <v>0</v>
      </c>
    </row>
    <row r="241" spans="1:12" x14ac:dyDescent="0.25">
      <c r="A241" t="s">
        <v>42</v>
      </c>
      <c r="B241">
        <v>2</v>
      </c>
      <c r="C241" s="1">
        <v>41881</v>
      </c>
      <c r="D241" s="2">
        <v>0.77083333333333337</v>
      </c>
      <c r="E241" t="s">
        <v>2</v>
      </c>
      <c r="F241" t="s">
        <v>21</v>
      </c>
      <c r="G241">
        <v>1</v>
      </c>
      <c r="H241">
        <v>1</v>
      </c>
      <c r="I241">
        <f t="shared" si="9"/>
        <v>0</v>
      </c>
      <c r="J241">
        <v>0</v>
      </c>
      <c r="K241">
        <f t="shared" si="10"/>
        <v>1</v>
      </c>
      <c r="L241">
        <f t="shared" si="11"/>
        <v>0</v>
      </c>
    </row>
    <row r="242" spans="1:12" x14ac:dyDescent="0.25">
      <c r="A242" t="s">
        <v>42</v>
      </c>
      <c r="B242">
        <v>3</v>
      </c>
      <c r="C242" s="1">
        <v>41895</v>
      </c>
      <c r="D242" s="2">
        <v>0.64583333333333337</v>
      </c>
      <c r="E242" t="s">
        <v>4</v>
      </c>
      <c r="F242" t="s">
        <v>19</v>
      </c>
      <c r="G242">
        <v>2</v>
      </c>
      <c r="H242">
        <v>0</v>
      </c>
      <c r="I242">
        <f t="shared" si="9"/>
        <v>1</v>
      </c>
      <c r="J242">
        <v>0</v>
      </c>
      <c r="K242">
        <f t="shared" si="10"/>
        <v>1</v>
      </c>
      <c r="L242">
        <f t="shared" si="11"/>
        <v>0</v>
      </c>
    </row>
    <row r="243" spans="1:12" x14ac:dyDescent="0.25">
      <c r="A243" t="s">
        <v>42</v>
      </c>
      <c r="B243">
        <v>4</v>
      </c>
      <c r="C243" s="1">
        <v>41902</v>
      </c>
      <c r="D243" s="2">
        <v>0.64583333333333337</v>
      </c>
      <c r="E243" t="s">
        <v>2</v>
      </c>
      <c r="F243" t="s">
        <v>27</v>
      </c>
      <c r="G243">
        <v>0</v>
      </c>
      <c r="H243">
        <v>0</v>
      </c>
      <c r="I243">
        <f t="shared" si="9"/>
        <v>0</v>
      </c>
      <c r="J243">
        <v>0</v>
      </c>
      <c r="K243">
        <f t="shared" si="10"/>
        <v>1</v>
      </c>
      <c r="L243">
        <f t="shared" si="11"/>
        <v>0</v>
      </c>
    </row>
    <row r="244" spans="1:12" x14ac:dyDescent="0.25">
      <c r="A244" t="s">
        <v>42</v>
      </c>
      <c r="B244">
        <v>5</v>
      </c>
      <c r="C244" s="1">
        <v>41905</v>
      </c>
      <c r="D244" s="2">
        <v>0.83333333333333337</v>
      </c>
      <c r="E244" t="s">
        <v>4</v>
      </c>
      <c r="F244" t="s">
        <v>23</v>
      </c>
      <c r="G244">
        <v>4</v>
      </c>
      <c r="H244">
        <v>0</v>
      </c>
      <c r="I244">
        <f t="shared" si="9"/>
        <v>1</v>
      </c>
      <c r="J244">
        <v>0</v>
      </c>
      <c r="K244">
        <f t="shared" si="10"/>
        <v>1</v>
      </c>
      <c r="L244">
        <f t="shared" si="11"/>
        <v>0</v>
      </c>
    </row>
    <row r="245" spans="1:12" x14ac:dyDescent="0.25">
      <c r="A245" t="s">
        <v>42</v>
      </c>
      <c r="B245">
        <v>6</v>
      </c>
      <c r="C245" s="1">
        <v>41909</v>
      </c>
      <c r="D245" s="2">
        <v>0.64583333333333337</v>
      </c>
      <c r="E245" t="s">
        <v>2</v>
      </c>
      <c r="F245" t="s">
        <v>5</v>
      </c>
      <c r="G245">
        <v>2</v>
      </c>
      <c r="H245">
        <v>0</v>
      </c>
      <c r="I245">
        <f t="shared" si="9"/>
        <v>1</v>
      </c>
      <c r="J245">
        <v>0</v>
      </c>
      <c r="K245">
        <f t="shared" si="10"/>
        <v>1</v>
      </c>
      <c r="L245">
        <f t="shared" si="11"/>
        <v>0</v>
      </c>
    </row>
    <row r="246" spans="1:12" x14ac:dyDescent="0.25">
      <c r="A246" t="s">
        <v>42</v>
      </c>
      <c r="B246">
        <v>7</v>
      </c>
      <c r="C246" s="1">
        <v>41916</v>
      </c>
      <c r="D246" s="2">
        <v>0.64583333333333337</v>
      </c>
      <c r="E246" t="s">
        <v>4</v>
      </c>
      <c r="F246" t="s">
        <v>26</v>
      </c>
      <c r="G246">
        <v>4</v>
      </c>
      <c r="H246">
        <v>0</v>
      </c>
      <c r="I246">
        <f t="shared" si="9"/>
        <v>1</v>
      </c>
      <c r="J246">
        <v>0</v>
      </c>
      <c r="K246">
        <f t="shared" si="10"/>
        <v>1</v>
      </c>
      <c r="L246">
        <f t="shared" si="11"/>
        <v>0</v>
      </c>
    </row>
    <row r="247" spans="1:12" x14ac:dyDescent="0.25">
      <c r="A247" t="s">
        <v>42</v>
      </c>
      <c r="B247">
        <v>8</v>
      </c>
      <c r="C247" s="1">
        <v>41930</v>
      </c>
      <c r="D247" s="2">
        <v>0.64583333333333337</v>
      </c>
      <c r="E247" t="s">
        <v>4</v>
      </c>
      <c r="F247" t="s">
        <v>22</v>
      </c>
      <c r="G247">
        <v>6</v>
      </c>
      <c r="H247">
        <v>0</v>
      </c>
      <c r="I247">
        <f t="shared" si="9"/>
        <v>1</v>
      </c>
      <c r="J247">
        <v>0</v>
      </c>
      <c r="K247">
        <f t="shared" si="10"/>
        <v>1</v>
      </c>
      <c r="L247">
        <f t="shared" si="11"/>
        <v>0</v>
      </c>
    </row>
    <row r="248" spans="1:12" x14ac:dyDescent="0.25">
      <c r="A248" t="s">
        <v>42</v>
      </c>
      <c r="B248">
        <v>9</v>
      </c>
      <c r="C248" s="1">
        <v>41938</v>
      </c>
      <c r="D248" s="2">
        <v>0.72916666666666663</v>
      </c>
      <c r="E248" t="s">
        <v>2</v>
      </c>
      <c r="F248" t="s">
        <v>3</v>
      </c>
      <c r="G248">
        <v>0</v>
      </c>
      <c r="H248">
        <v>0</v>
      </c>
      <c r="I248">
        <f t="shared" si="9"/>
        <v>0</v>
      </c>
      <c r="J248">
        <v>0</v>
      </c>
      <c r="K248">
        <f t="shared" si="10"/>
        <v>1</v>
      </c>
      <c r="L248">
        <f t="shared" si="11"/>
        <v>0</v>
      </c>
    </row>
    <row r="249" spans="1:12" x14ac:dyDescent="0.25">
      <c r="A249" t="s">
        <v>42</v>
      </c>
      <c r="B249">
        <v>10</v>
      </c>
      <c r="C249" s="1">
        <v>41944</v>
      </c>
      <c r="D249" s="2">
        <v>0.77083333333333337</v>
      </c>
      <c r="E249" t="s">
        <v>4</v>
      </c>
      <c r="F249" t="s">
        <v>17</v>
      </c>
      <c r="G249">
        <v>2</v>
      </c>
      <c r="H249">
        <v>1</v>
      </c>
      <c r="I249">
        <f t="shared" si="9"/>
        <v>1</v>
      </c>
      <c r="J249">
        <v>0</v>
      </c>
      <c r="K249">
        <f t="shared" si="10"/>
        <v>1</v>
      </c>
      <c r="L249">
        <f t="shared" si="11"/>
        <v>0</v>
      </c>
    </row>
    <row r="250" spans="1:12" x14ac:dyDescent="0.25">
      <c r="A250" t="s">
        <v>42</v>
      </c>
      <c r="B250">
        <v>11</v>
      </c>
      <c r="C250" s="1">
        <v>41951</v>
      </c>
      <c r="D250" s="2">
        <v>0.64583333333333337</v>
      </c>
      <c r="E250" t="s">
        <v>2</v>
      </c>
      <c r="F250" t="s">
        <v>10</v>
      </c>
      <c r="G250">
        <v>4</v>
      </c>
      <c r="H250">
        <v>0</v>
      </c>
      <c r="I250">
        <f t="shared" si="9"/>
        <v>1</v>
      </c>
      <c r="J250">
        <v>0</v>
      </c>
      <c r="K250">
        <f t="shared" si="10"/>
        <v>1</v>
      </c>
      <c r="L250">
        <f t="shared" si="11"/>
        <v>0</v>
      </c>
    </row>
    <row r="251" spans="1:12" x14ac:dyDescent="0.25">
      <c r="A251" t="s">
        <v>42</v>
      </c>
      <c r="B251">
        <v>12</v>
      </c>
      <c r="C251" s="1">
        <v>41965</v>
      </c>
      <c r="D251" s="2">
        <v>0.64583333333333337</v>
      </c>
      <c r="E251" t="s">
        <v>4</v>
      </c>
      <c r="F251" t="s">
        <v>12</v>
      </c>
      <c r="G251">
        <v>4</v>
      </c>
      <c r="H251">
        <v>0</v>
      </c>
      <c r="I251">
        <f t="shared" si="9"/>
        <v>1</v>
      </c>
      <c r="J251">
        <v>0</v>
      </c>
      <c r="K251">
        <f t="shared" si="10"/>
        <v>1</v>
      </c>
      <c r="L251">
        <f t="shared" si="11"/>
        <v>0</v>
      </c>
    </row>
    <row r="252" spans="1:12" x14ac:dyDescent="0.25">
      <c r="A252" t="s">
        <v>42</v>
      </c>
      <c r="B252">
        <v>13</v>
      </c>
      <c r="C252" s="1">
        <v>41972</v>
      </c>
      <c r="D252" s="2">
        <v>0.64583333333333337</v>
      </c>
      <c r="E252" t="s">
        <v>2</v>
      </c>
      <c r="F252" t="s">
        <v>6</v>
      </c>
      <c r="G252">
        <v>1</v>
      </c>
      <c r="H252">
        <v>0</v>
      </c>
      <c r="I252">
        <f t="shared" si="9"/>
        <v>1</v>
      </c>
      <c r="J252">
        <v>0</v>
      </c>
      <c r="K252">
        <f t="shared" si="10"/>
        <v>1</v>
      </c>
      <c r="L252">
        <f t="shared" si="11"/>
        <v>0</v>
      </c>
    </row>
    <row r="253" spans="1:12" x14ac:dyDescent="0.25">
      <c r="A253" t="s">
        <v>42</v>
      </c>
      <c r="B253">
        <v>14</v>
      </c>
      <c r="C253" s="1">
        <v>41979</v>
      </c>
      <c r="D253" s="2">
        <v>0.77083333333333337</v>
      </c>
      <c r="E253" t="s">
        <v>4</v>
      </c>
      <c r="F253" t="s">
        <v>11</v>
      </c>
      <c r="G253">
        <v>1</v>
      </c>
      <c r="H253">
        <v>0</v>
      </c>
      <c r="I253">
        <f t="shared" si="9"/>
        <v>1</v>
      </c>
      <c r="J253">
        <v>0</v>
      </c>
      <c r="K253">
        <f t="shared" si="10"/>
        <v>1</v>
      </c>
      <c r="L253">
        <f t="shared" si="11"/>
        <v>0</v>
      </c>
    </row>
    <row r="254" spans="1:12" x14ac:dyDescent="0.25">
      <c r="A254" t="s">
        <v>42</v>
      </c>
      <c r="B254">
        <v>15</v>
      </c>
      <c r="C254" s="1">
        <v>41986</v>
      </c>
      <c r="D254" s="2">
        <v>0.64583333333333337</v>
      </c>
      <c r="E254" t="s">
        <v>2</v>
      </c>
      <c r="F254" t="s">
        <v>15</v>
      </c>
      <c r="G254">
        <v>4</v>
      </c>
      <c r="H254">
        <v>0</v>
      </c>
      <c r="I254">
        <f t="shared" si="9"/>
        <v>1</v>
      </c>
      <c r="J254">
        <v>0</v>
      </c>
      <c r="K254">
        <f t="shared" si="10"/>
        <v>1</v>
      </c>
      <c r="L254">
        <f t="shared" si="11"/>
        <v>0</v>
      </c>
    </row>
    <row r="255" spans="1:12" x14ac:dyDescent="0.25">
      <c r="A255" t="s">
        <v>42</v>
      </c>
      <c r="B255">
        <v>16</v>
      </c>
      <c r="C255" s="1">
        <v>41989</v>
      </c>
      <c r="D255" s="2">
        <v>0.83333333333333337</v>
      </c>
      <c r="E255" t="s">
        <v>4</v>
      </c>
      <c r="F255" t="s">
        <v>14</v>
      </c>
      <c r="G255">
        <v>2</v>
      </c>
      <c r="H255">
        <v>0</v>
      </c>
      <c r="I255">
        <f t="shared" si="9"/>
        <v>1</v>
      </c>
      <c r="J255">
        <v>0</v>
      </c>
      <c r="K255">
        <f t="shared" si="10"/>
        <v>1</v>
      </c>
      <c r="L255">
        <f t="shared" si="11"/>
        <v>0</v>
      </c>
    </row>
    <row r="256" spans="1:12" x14ac:dyDescent="0.25">
      <c r="A256" t="s">
        <v>42</v>
      </c>
      <c r="B256">
        <v>17</v>
      </c>
      <c r="C256" s="1">
        <v>41992</v>
      </c>
      <c r="D256" s="2">
        <v>0.85416666666666663</v>
      </c>
      <c r="E256" t="s">
        <v>2</v>
      </c>
      <c r="F256" t="s">
        <v>18</v>
      </c>
      <c r="G256">
        <v>2</v>
      </c>
      <c r="H256">
        <v>1</v>
      </c>
      <c r="I256">
        <f t="shared" si="9"/>
        <v>1</v>
      </c>
      <c r="J256">
        <v>0</v>
      </c>
      <c r="K256">
        <f t="shared" si="10"/>
        <v>1</v>
      </c>
      <c r="L256">
        <f t="shared" si="11"/>
        <v>0</v>
      </c>
    </row>
    <row r="257" spans="1:12" x14ac:dyDescent="0.25">
      <c r="A257" t="s">
        <v>42</v>
      </c>
      <c r="B257">
        <v>18</v>
      </c>
      <c r="C257" s="1">
        <v>42034</v>
      </c>
      <c r="D257" s="2">
        <v>0.85416666666666663</v>
      </c>
      <c r="E257" t="s">
        <v>2</v>
      </c>
      <c r="F257" t="s">
        <v>20</v>
      </c>
      <c r="G257">
        <v>1</v>
      </c>
      <c r="H257">
        <v>4</v>
      </c>
      <c r="I257">
        <f t="shared" si="9"/>
        <v>0</v>
      </c>
      <c r="J257">
        <v>0</v>
      </c>
      <c r="K257">
        <f t="shared" si="10"/>
        <v>0</v>
      </c>
      <c r="L257">
        <f t="shared" si="11"/>
        <v>1</v>
      </c>
    </row>
    <row r="258" spans="1:12" x14ac:dyDescent="0.25">
      <c r="A258" t="s">
        <v>42</v>
      </c>
      <c r="B258">
        <v>19</v>
      </c>
      <c r="C258" s="1">
        <v>42038</v>
      </c>
      <c r="D258" s="2">
        <v>0.83333333333333337</v>
      </c>
      <c r="E258" t="s">
        <v>4</v>
      </c>
      <c r="F258" t="s">
        <v>21</v>
      </c>
      <c r="G258">
        <v>1</v>
      </c>
      <c r="H258">
        <v>1</v>
      </c>
      <c r="I258">
        <f t="shared" si="9"/>
        <v>0</v>
      </c>
      <c r="J258">
        <v>0</v>
      </c>
      <c r="K258">
        <f t="shared" si="10"/>
        <v>1</v>
      </c>
      <c r="L258">
        <f t="shared" si="11"/>
        <v>0</v>
      </c>
    </row>
    <row r="259" spans="1:12" x14ac:dyDescent="0.25">
      <c r="A259" t="s">
        <v>42</v>
      </c>
      <c r="B259">
        <v>20</v>
      </c>
      <c r="C259" s="1">
        <v>42042</v>
      </c>
      <c r="D259" s="2">
        <v>0.64583333333333337</v>
      </c>
      <c r="E259" t="s">
        <v>2</v>
      </c>
      <c r="F259" t="s">
        <v>19</v>
      </c>
      <c r="G259">
        <v>2</v>
      </c>
      <c r="H259">
        <v>0</v>
      </c>
      <c r="I259">
        <f t="shared" ref="I259:I322" si="12">IF(G259&gt;H259,1,0)</f>
        <v>1</v>
      </c>
      <c r="J259">
        <v>0</v>
      </c>
      <c r="K259">
        <f t="shared" ref="K259:K322" si="13">IF(G259&gt;=H259,1,0)</f>
        <v>1</v>
      </c>
      <c r="L259">
        <f t="shared" ref="L259:L322" si="14">IF(H259&gt;G259,1,0)</f>
        <v>0</v>
      </c>
    </row>
    <row r="260" spans="1:12" x14ac:dyDescent="0.25">
      <c r="A260" t="s">
        <v>42</v>
      </c>
      <c r="B260">
        <v>21</v>
      </c>
      <c r="C260" s="1">
        <v>42049</v>
      </c>
      <c r="D260" s="2">
        <v>0.64583333333333337</v>
      </c>
      <c r="E260" t="s">
        <v>4</v>
      </c>
      <c r="F260" t="s">
        <v>27</v>
      </c>
      <c r="G260">
        <v>8</v>
      </c>
      <c r="H260">
        <v>0</v>
      </c>
      <c r="I260">
        <f t="shared" si="12"/>
        <v>1</v>
      </c>
      <c r="J260">
        <v>0</v>
      </c>
      <c r="K260">
        <f t="shared" si="13"/>
        <v>1</v>
      </c>
      <c r="L260">
        <f t="shared" si="14"/>
        <v>0</v>
      </c>
    </row>
    <row r="261" spans="1:12" x14ac:dyDescent="0.25">
      <c r="A261" t="s">
        <v>42</v>
      </c>
      <c r="B261">
        <v>22</v>
      </c>
      <c r="C261" s="1">
        <v>42056</v>
      </c>
      <c r="D261" s="2">
        <v>0.64583333333333337</v>
      </c>
      <c r="E261" t="s">
        <v>2</v>
      </c>
      <c r="F261" t="s">
        <v>23</v>
      </c>
      <c r="G261">
        <v>6</v>
      </c>
      <c r="H261">
        <v>0</v>
      </c>
      <c r="I261">
        <f t="shared" si="12"/>
        <v>1</v>
      </c>
      <c r="J261">
        <v>0</v>
      </c>
      <c r="K261">
        <f t="shared" si="13"/>
        <v>1</v>
      </c>
      <c r="L261">
        <f t="shared" si="14"/>
        <v>0</v>
      </c>
    </row>
    <row r="262" spans="1:12" x14ac:dyDescent="0.25">
      <c r="A262" t="s">
        <v>42</v>
      </c>
      <c r="B262">
        <v>23</v>
      </c>
      <c r="C262" s="1">
        <v>42062</v>
      </c>
      <c r="D262" s="2">
        <v>0.85416666666666663</v>
      </c>
      <c r="E262" t="s">
        <v>4</v>
      </c>
      <c r="F262" t="s">
        <v>5</v>
      </c>
      <c r="G262">
        <v>4</v>
      </c>
      <c r="H262">
        <v>1</v>
      </c>
      <c r="I262">
        <f t="shared" si="12"/>
        <v>1</v>
      </c>
      <c r="J262">
        <v>0</v>
      </c>
      <c r="K262">
        <f t="shared" si="13"/>
        <v>1</v>
      </c>
      <c r="L262">
        <f t="shared" si="14"/>
        <v>0</v>
      </c>
    </row>
    <row r="263" spans="1:12" x14ac:dyDescent="0.25">
      <c r="A263" t="s">
        <v>42</v>
      </c>
      <c r="B263">
        <v>24</v>
      </c>
      <c r="C263" s="1">
        <v>42070</v>
      </c>
      <c r="D263" s="2">
        <v>0.64583333333333337</v>
      </c>
      <c r="E263" t="s">
        <v>2</v>
      </c>
      <c r="F263" t="s">
        <v>26</v>
      </c>
      <c r="G263">
        <v>3</v>
      </c>
      <c r="H263">
        <v>1</v>
      </c>
      <c r="I263">
        <f t="shared" si="12"/>
        <v>1</v>
      </c>
      <c r="J263">
        <v>0</v>
      </c>
      <c r="K263">
        <f t="shared" si="13"/>
        <v>1</v>
      </c>
      <c r="L263">
        <f t="shared" si="14"/>
        <v>0</v>
      </c>
    </row>
    <row r="264" spans="1:12" x14ac:dyDescent="0.25">
      <c r="A264" t="s">
        <v>42</v>
      </c>
      <c r="B264">
        <v>25</v>
      </c>
      <c r="C264" s="1">
        <v>42077</v>
      </c>
      <c r="D264" s="2">
        <v>0.64583333333333337</v>
      </c>
      <c r="E264" t="s">
        <v>2</v>
      </c>
      <c r="F264" t="s">
        <v>22</v>
      </c>
      <c r="G264">
        <v>4</v>
      </c>
      <c r="H264">
        <v>0</v>
      </c>
      <c r="I264">
        <f t="shared" si="12"/>
        <v>1</v>
      </c>
      <c r="J264">
        <v>0</v>
      </c>
      <c r="K264">
        <f t="shared" si="13"/>
        <v>1</v>
      </c>
      <c r="L264">
        <f t="shared" si="14"/>
        <v>0</v>
      </c>
    </row>
    <row r="265" spans="1:12" x14ac:dyDescent="0.25">
      <c r="A265" t="s">
        <v>42</v>
      </c>
      <c r="B265">
        <v>26</v>
      </c>
      <c r="C265" s="1">
        <v>42085</v>
      </c>
      <c r="D265" s="2">
        <v>0.72916666666666663</v>
      </c>
      <c r="E265" t="s">
        <v>4</v>
      </c>
      <c r="F265" t="s">
        <v>3</v>
      </c>
      <c r="G265">
        <v>0</v>
      </c>
      <c r="H265">
        <v>2</v>
      </c>
      <c r="I265">
        <f t="shared" si="12"/>
        <v>0</v>
      </c>
      <c r="J265">
        <v>0</v>
      </c>
      <c r="K265">
        <f t="shared" si="13"/>
        <v>0</v>
      </c>
      <c r="L265">
        <f t="shared" si="14"/>
        <v>1</v>
      </c>
    </row>
    <row r="266" spans="1:12" x14ac:dyDescent="0.25">
      <c r="A266" t="s">
        <v>42</v>
      </c>
      <c r="B266">
        <v>27</v>
      </c>
      <c r="C266" s="1">
        <v>42098</v>
      </c>
      <c r="D266" s="2">
        <v>0.77083333333333337</v>
      </c>
      <c r="E266" t="s">
        <v>2</v>
      </c>
      <c r="F266" t="s">
        <v>17</v>
      </c>
      <c r="G266">
        <v>1</v>
      </c>
      <c r="H266">
        <v>0</v>
      </c>
      <c r="I266">
        <f t="shared" si="12"/>
        <v>1</v>
      </c>
      <c r="J266">
        <v>0</v>
      </c>
      <c r="K266">
        <f t="shared" si="13"/>
        <v>1</v>
      </c>
      <c r="L266">
        <f t="shared" si="14"/>
        <v>0</v>
      </c>
    </row>
    <row r="267" spans="1:12" x14ac:dyDescent="0.25">
      <c r="A267" t="s">
        <v>42</v>
      </c>
      <c r="B267">
        <v>28</v>
      </c>
      <c r="C267" s="1">
        <v>42105</v>
      </c>
      <c r="D267" s="2">
        <v>0.64583333333333337</v>
      </c>
      <c r="E267" t="s">
        <v>4</v>
      </c>
      <c r="F267" t="s">
        <v>10</v>
      </c>
      <c r="G267">
        <v>3</v>
      </c>
      <c r="H267">
        <v>0</v>
      </c>
      <c r="I267">
        <f t="shared" si="12"/>
        <v>1</v>
      </c>
      <c r="J267">
        <v>0</v>
      </c>
      <c r="K267">
        <f t="shared" si="13"/>
        <v>1</v>
      </c>
      <c r="L267">
        <f t="shared" si="14"/>
        <v>0</v>
      </c>
    </row>
    <row r="268" spans="1:12" x14ac:dyDescent="0.25">
      <c r="A268" t="s">
        <v>42</v>
      </c>
      <c r="B268">
        <v>29</v>
      </c>
      <c r="C268" s="1">
        <v>42112</v>
      </c>
      <c r="D268" s="2">
        <v>0.64583333333333337</v>
      </c>
      <c r="E268" t="s">
        <v>2</v>
      </c>
      <c r="F268" t="s">
        <v>12</v>
      </c>
      <c r="G268">
        <v>2</v>
      </c>
      <c r="H268">
        <v>0</v>
      </c>
      <c r="I268">
        <f t="shared" si="12"/>
        <v>1</v>
      </c>
      <c r="J268">
        <v>0</v>
      </c>
      <c r="K268">
        <f t="shared" si="13"/>
        <v>1</v>
      </c>
      <c r="L268">
        <f t="shared" si="14"/>
        <v>0</v>
      </c>
    </row>
    <row r="269" spans="1:12" x14ac:dyDescent="0.25">
      <c r="A269" s="3" t="s">
        <v>42</v>
      </c>
      <c r="B269" s="3">
        <v>30</v>
      </c>
      <c r="C269" s="4">
        <v>42119</v>
      </c>
      <c r="D269" s="5">
        <v>0.77083333333333337</v>
      </c>
      <c r="E269" s="3" t="s">
        <v>4</v>
      </c>
      <c r="F269" s="3" t="s">
        <v>6</v>
      </c>
      <c r="G269" s="3">
        <v>1</v>
      </c>
      <c r="H269" s="3">
        <v>0</v>
      </c>
      <c r="I269" s="3">
        <f t="shared" si="12"/>
        <v>1</v>
      </c>
      <c r="J269" s="3">
        <v>0</v>
      </c>
      <c r="K269">
        <f t="shared" si="13"/>
        <v>1</v>
      </c>
      <c r="L269">
        <f t="shared" si="14"/>
        <v>0</v>
      </c>
    </row>
    <row r="270" spans="1:12" x14ac:dyDescent="0.25">
      <c r="A270" t="s">
        <v>42</v>
      </c>
      <c r="B270">
        <v>31</v>
      </c>
      <c r="C270" s="1">
        <v>42126</v>
      </c>
      <c r="D270" s="2">
        <v>0.77083333333333337</v>
      </c>
      <c r="E270" t="s">
        <v>2</v>
      </c>
      <c r="F270" t="s">
        <v>11</v>
      </c>
      <c r="G270">
        <v>0</v>
      </c>
      <c r="H270">
        <v>2</v>
      </c>
      <c r="I270">
        <f t="shared" si="12"/>
        <v>0</v>
      </c>
      <c r="J270">
        <v>1</v>
      </c>
      <c r="K270">
        <f t="shared" si="13"/>
        <v>0</v>
      </c>
      <c r="L270">
        <f t="shared" si="14"/>
        <v>1</v>
      </c>
    </row>
    <row r="271" spans="1:12" x14ac:dyDescent="0.25">
      <c r="A271" t="s">
        <v>42</v>
      </c>
      <c r="B271">
        <v>32</v>
      </c>
      <c r="C271" s="1">
        <v>42133</v>
      </c>
      <c r="D271" s="2">
        <v>0.64583333333333337</v>
      </c>
      <c r="E271" t="s">
        <v>4</v>
      </c>
      <c r="F271" t="s">
        <v>15</v>
      </c>
      <c r="G271">
        <v>0</v>
      </c>
      <c r="H271">
        <v>1</v>
      </c>
      <c r="I271">
        <f t="shared" si="12"/>
        <v>0</v>
      </c>
      <c r="J271">
        <v>1</v>
      </c>
      <c r="K271">
        <f t="shared" si="13"/>
        <v>0</v>
      </c>
      <c r="L271">
        <f t="shared" si="14"/>
        <v>1</v>
      </c>
    </row>
    <row r="272" spans="1:12" x14ac:dyDescent="0.25">
      <c r="A272" t="s">
        <v>42</v>
      </c>
      <c r="B272">
        <v>33</v>
      </c>
      <c r="C272" s="1">
        <v>42140</v>
      </c>
      <c r="D272" s="2">
        <v>0.64583333333333337</v>
      </c>
      <c r="E272" t="s">
        <v>2</v>
      </c>
      <c r="F272" t="s">
        <v>14</v>
      </c>
      <c r="G272">
        <v>1</v>
      </c>
      <c r="H272">
        <v>2</v>
      </c>
      <c r="I272">
        <f t="shared" si="12"/>
        <v>0</v>
      </c>
      <c r="J272">
        <v>1</v>
      </c>
      <c r="K272">
        <f t="shared" si="13"/>
        <v>0</v>
      </c>
      <c r="L272">
        <f t="shared" si="14"/>
        <v>1</v>
      </c>
    </row>
    <row r="273" spans="1:12" x14ac:dyDescent="0.25">
      <c r="A273" t="s">
        <v>42</v>
      </c>
      <c r="B273">
        <v>34</v>
      </c>
      <c r="C273" s="1">
        <v>42147</v>
      </c>
      <c r="D273" s="2">
        <v>0.64583333333333337</v>
      </c>
      <c r="E273" t="s">
        <v>4</v>
      </c>
      <c r="F273" t="s">
        <v>18</v>
      </c>
      <c r="G273">
        <v>2</v>
      </c>
      <c r="H273">
        <v>0</v>
      </c>
      <c r="I273">
        <f t="shared" si="12"/>
        <v>1</v>
      </c>
      <c r="J273">
        <v>1</v>
      </c>
      <c r="K273">
        <f t="shared" si="13"/>
        <v>1</v>
      </c>
      <c r="L273">
        <f t="shared" si="14"/>
        <v>0</v>
      </c>
    </row>
    <row r="274" spans="1:12" x14ac:dyDescent="0.25">
      <c r="A274" t="s">
        <v>43</v>
      </c>
      <c r="B274">
        <v>1</v>
      </c>
      <c r="C274" s="1">
        <v>41495</v>
      </c>
      <c r="D274" s="2">
        <v>0.85416666666666663</v>
      </c>
      <c r="E274" t="s">
        <v>4</v>
      </c>
      <c r="F274" t="s">
        <v>3</v>
      </c>
      <c r="G274">
        <v>3</v>
      </c>
      <c r="H274">
        <v>1</v>
      </c>
      <c r="I274">
        <f t="shared" si="12"/>
        <v>1</v>
      </c>
      <c r="J274">
        <v>0</v>
      </c>
      <c r="K274">
        <f t="shared" si="13"/>
        <v>1</v>
      </c>
      <c r="L274">
        <f t="shared" si="14"/>
        <v>0</v>
      </c>
    </row>
    <row r="275" spans="1:12" x14ac:dyDescent="0.25">
      <c r="A275" t="s">
        <v>43</v>
      </c>
      <c r="B275">
        <v>2</v>
      </c>
      <c r="C275" s="1">
        <v>41503</v>
      </c>
      <c r="D275" s="2">
        <v>0.64583333333333337</v>
      </c>
      <c r="E275" t="s">
        <v>2</v>
      </c>
      <c r="F275" t="s">
        <v>10</v>
      </c>
      <c r="G275">
        <v>1</v>
      </c>
      <c r="H275">
        <v>0</v>
      </c>
      <c r="I275">
        <f t="shared" si="12"/>
        <v>1</v>
      </c>
      <c r="J275">
        <v>0</v>
      </c>
      <c r="K275">
        <f t="shared" si="13"/>
        <v>1</v>
      </c>
      <c r="L275">
        <f t="shared" si="14"/>
        <v>0</v>
      </c>
    </row>
    <row r="276" spans="1:12" x14ac:dyDescent="0.25">
      <c r="A276" t="s">
        <v>43</v>
      </c>
      <c r="B276">
        <v>3</v>
      </c>
      <c r="C276" s="1">
        <v>41510</v>
      </c>
      <c r="D276" s="2">
        <v>0.64583333333333337</v>
      </c>
      <c r="E276" t="s">
        <v>4</v>
      </c>
      <c r="F276" t="s">
        <v>25</v>
      </c>
      <c r="G276">
        <v>2</v>
      </c>
      <c r="H276">
        <v>0</v>
      </c>
      <c r="I276">
        <f t="shared" si="12"/>
        <v>1</v>
      </c>
      <c r="J276">
        <v>0</v>
      </c>
      <c r="K276">
        <f t="shared" si="13"/>
        <v>1</v>
      </c>
      <c r="L276">
        <f t="shared" si="14"/>
        <v>0</v>
      </c>
    </row>
    <row r="277" spans="1:12" x14ac:dyDescent="0.25">
      <c r="A277" t="s">
        <v>43</v>
      </c>
      <c r="B277">
        <v>4</v>
      </c>
      <c r="C277" s="1">
        <v>41513</v>
      </c>
      <c r="D277" s="2">
        <v>0.77083333333333337</v>
      </c>
      <c r="E277" t="s">
        <v>2</v>
      </c>
      <c r="F277" t="s">
        <v>14</v>
      </c>
      <c r="G277">
        <v>1</v>
      </c>
      <c r="H277">
        <v>1</v>
      </c>
      <c r="I277">
        <f t="shared" si="12"/>
        <v>0</v>
      </c>
      <c r="J277">
        <v>0</v>
      </c>
      <c r="K277">
        <f t="shared" si="13"/>
        <v>1</v>
      </c>
      <c r="L277">
        <f t="shared" si="14"/>
        <v>0</v>
      </c>
    </row>
    <row r="278" spans="1:12" x14ac:dyDescent="0.25">
      <c r="A278" t="s">
        <v>43</v>
      </c>
      <c r="B278">
        <v>5</v>
      </c>
      <c r="C278" s="1">
        <v>41531</v>
      </c>
      <c r="D278" s="2">
        <v>0.64583333333333337</v>
      </c>
      <c r="E278" t="s">
        <v>4</v>
      </c>
      <c r="F278" t="s">
        <v>26</v>
      </c>
      <c r="G278">
        <v>2</v>
      </c>
      <c r="H278">
        <v>0</v>
      </c>
      <c r="I278">
        <f t="shared" si="12"/>
        <v>1</v>
      </c>
      <c r="J278">
        <v>0</v>
      </c>
      <c r="K278">
        <f t="shared" si="13"/>
        <v>1</v>
      </c>
      <c r="L278">
        <f t="shared" si="14"/>
        <v>0</v>
      </c>
    </row>
    <row r="279" spans="1:12" x14ac:dyDescent="0.25">
      <c r="A279" t="s">
        <v>43</v>
      </c>
      <c r="B279">
        <v>6</v>
      </c>
      <c r="C279" s="1">
        <v>41538</v>
      </c>
      <c r="D279" s="2">
        <v>0.77083333333333337</v>
      </c>
      <c r="E279" t="s">
        <v>2</v>
      </c>
      <c r="F279" t="s">
        <v>21</v>
      </c>
      <c r="G279">
        <v>4</v>
      </c>
      <c r="H279">
        <v>0</v>
      </c>
      <c r="I279">
        <f t="shared" si="12"/>
        <v>1</v>
      </c>
      <c r="J279">
        <v>0</v>
      </c>
      <c r="K279">
        <f t="shared" si="13"/>
        <v>1</v>
      </c>
      <c r="L279">
        <f t="shared" si="14"/>
        <v>0</v>
      </c>
    </row>
    <row r="280" spans="1:12" x14ac:dyDescent="0.25">
      <c r="A280" t="s">
        <v>43</v>
      </c>
      <c r="B280">
        <v>7</v>
      </c>
      <c r="C280" s="1">
        <v>41545</v>
      </c>
      <c r="D280" s="2">
        <v>0.64583333333333337</v>
      </c>
      <c r="E280" t="s">
        <v>4</v>
      </c>
      <c r="F280" t="s">
        <v>20</v>
      </c>
      <c r="G280">
        <v>1</v>
      </c>
      <c r="H280">
        <v>0</v>
      </c>
      <c r="I280">
        <f t="shared" si="12"/>
        <v>1</v>
      </c>
      <c r="J280">
        <v>0</v>
      </c>
      <c r="K280">
        <f t="shared" si="13"/>
        <v>1</v>
      </c>
      <c r="L280">
        <f t="shared" si="14"/>
        <v>0</v>
      </c>
    </row>
    <row r="281" spans="1:12" x14ac:dyDescent="0.25">
      <c r="A281" t="s">
        <v>43</v>
      </c>
      <c r="B281">
        <v>8</v>
      </c>
      <c r="C281" s="1">
        <v>41552</v>
      </c>
      <c r="D281" s="2">
        <v>0.77083333333333337</v>
      </c>
      <c r="E281" t="s">
        <v>2</v>
      </c>
      <c r="F281" t="s">
        <v>11</v>
      </c>
      <c r="G281">
        <v>1</v>
      </c>
      <c r="H281">
        <v>1</v>
      </c>
      <c r="I281">
        <f t="shared" si="12"/>
        <v>0</v>
      </c>
      <c r="J281">
        <v>0</v>
      </c>
      <c r="K281">
        <f t="shared" si="13"/>
        <v>1</v>
      </c>
      <c r="L281">
        <f t="shared" si="14"/>
        <v>0</v>
      </c>
    </row>
    <row r="282" spans="1:12" x14ac:dyDescent="0.25">
      <c r="A282" t="s">
        <v>43</v>
      </c>
      <c r="B282">
        <v>9</v>
      </c>
      <c r="C282" s="1">
        <v>41566</v>
      </c>
      <c r="D282" s="2">
        <v>0.64583333333333337</v>
      </c>
      <c r="E282" t="s">
        <v>4</v>
      </c>
      <c r="F282" t="s">
        <v>18</v>
      </c>
      <c r="G282">
        <v>4</v>
      </c>
      <c r="H282">
        <v>1</v>
      </c>
      <c r="I282">
        <f t="shared" si="12"/>
        <v>1</v>
      </c>
      <c r="J282">
        <v>0</v>
      </c>
      <c r="K282">
        <f t="shared" si="13"/>
        <v>1</v>
      </c>
      <c r="L282">
        <f t="shared" si="14"/>
        <v>0</v>
      </c>
    </row>
    <row r="283" spans="1:12" x14ac:dyDescent="0.25">
      <c r="A283" t="s">
        <v>43</v>
      </c>
      <c r="B283">
        <v>10</v>
      </c>
      <c r="C283" s="1">
        <v>41573</v>
      </c>
      <c r="D283" s="2">
        <v>0.64583333333333337</v>
      </c>
      <c r="E283" t="s">
        <v>4</v>
      </c>
      <c r="F283" t="s">
        <v>6</v>
      </c>
      <c r="G283">
        <v>3</v>
      </c>
      <c r="H283">
        <v>2</v>
      </c>
      <c r="I283">
        <f t="shared" si="12"/>
        <v>1</v>
      </c>
      <c r="J283">
        <v>0</v>
      </c>
      <c r="K283">
        <f t="shared" si="13"/>
        <v>1</v>
      </c>
      <c r="L283">
        <f t="shared" si="14"/>
        <v>0</v>
      </c>
    </row>
    <row r="284" spans="1:12" x14ac:dyDescent="0.25">
      <c r="A284" t="s">
        <v>43</v>
      </c>
      <c r="B284">
        <v>11</v>
      </c>
      <c r="C284" s="1">
        <v>41580</v>
      </c>
      <c r="D284" s="2">
        <v>0.64583333333333337</v>
      </c>
      <c r="E284" t="s">
        <v>2</v>
      </c>
      <c r="F284" t="s">
        <v>12</v>
      </c>
      <c r="G284">
        <v>2</v>
      </c>
      <c r="H284">
        <v>1</v>
      </c>
      <c r="I284">
        <f t="shared" si="12"/>
        <v>1</v>
      </c>
      <c r="J284">
        <v>0</v>
      </c>
      <c r="K284">
        <f t="shared" si="13"/>
        <v>1</v>
      </c>
      <c r="L284">
        <f t="shared" si="14"/>
        <v>0</v>
      </c>
    </row>
    <row r="285" spans="1:12" x14ac:dyDescent="0.25">
      <c r="A285" t="s">
        <v>43</v>
      </c>
      <c r="B285">
        <v>12</v>
      </c>
      <c r="C285" s="1">
        <v>41587</v>
      </c>
      <c r="D285" s="2">
        <v>0.64583333333333337</v>
      </c>
      <c r="E285" t="s">
        <v>4</v>
      </c>
      <c r="F285" t="s">
        <v>15</v>
      </c>
      <c r="G285">
        <v>3</v>
      </c>
      <c r="H285">
        <v>0</v>
      </c>
      <c r="I285">
        <f t="shared" si="12"/>
        <v>1</v>
      </c>
      <c r="J285">
        <v>0</v>
      </c>
      <c r="K285">
        <f t="shared" si="13"/>
        <v>1</v>
      </c>
      <c r="L285">
        <f t="shared" si="14"/>
        <v>0</v>
      </c>
    </row>
    <row r="286" spans="1:12" x14ac:dyDescent="0.25">
      <c r="A286" t="s">
        <v>43</v>
      </c>
      <c r="B286">
        <v>13</v>
      </c>
      <c r="C286" s="1">
        <v>41601</v>
      </c>
      <c r="D286" s="2">
        <v>0.77083333333333337</v>
      </c>
      <c r="E286" t="s">
        <v>2</v>
      </c>
      <c r="F286" t="s">
        <v>17</v>
      </c>
      <c r="G286">
        <v>3</v>
      </c>
      <c r="H286">
        <v>0</v>
      </c>
      <c r="I286">
        <f t="shared" si="12"/>
        <v>1</v>
      </c>
      <c r="J286">
        <v>0</v>
      </c>
      <c r="K286">
        <f t="shared" si="13"/>
        <v>1</v>
      </c>
      <c r="L286">
        <f t="shared" si="14"/>
        <v>0</v>
      </c>
    </row>
    <row r="287" spans="1:12" x14ac:dyDescent="0.25">
      <c r="A287" t="s">
        <v>43</v>
      </c>
      <c r="B287">
        <v>14</v>
      </c>
      <c r="C287" s="1">
        <v>41608</v>
      </c>
      <c r="D287" s="2">
        <v>0.64583333333333337</v>
      </c>
      <c r="E287" t="s">
        <v>4</v>
      </c>
      <c r="F287" t="s">
        <v>30</v>
      </c>
      <c r="G287">
        <v>2</v>
      </c>
      <c r="H287">
        <v>0</v>
      </c>
      <c r="I287">
        <f t="shared" si="12"/>
        <v>1</v>
      </c>
      <c r="J287">
        <v>0</v>
      </c>
      <c r="K287">
        <f t="shared" si="13"/>
        <v>1</v>
      </c>
      <c r="L287">
        <f t="shared" si="14"/>
        <v>0</v>
      </c>
    </row>
    <row r="288" spans="1:12" x14ac:dyDescent="0.25">
      <c r="A288" t="s">
        <v>43</v>
      </c>
      <c r="B288">
        <v>15</v>
      </c>
      <c r="C288" s="1">
        <v>41615</v>
      </c>
      <c r="D288" s="2">
        <v>0.64583333333333337</v>
      </c>
      <c r="E288" t="s">
        <v>2</v>
      </c>
      <c r="F288" t="s">
        <v>22</v>
      </c>
      <c r="G288">
        <v>7</v>
      </c>
      <c r="H288">
        <v>0</v>
      </c>
      <c r="I288">
        <f t="shared" si="12"/>
        <v>1</v>
      </c>
      <c r="J288">
        <v>0</v>
      </c>
      <c r="K288">
        <f t="shared" si="13"/>
        <v>1</v>
      </c>
      <c r="L288">
        <f t="shared" si="14"/>
        <v>0</v>
      </c>
    </row>
    <row r="289" spans="1:12" x14ac:dyDescent="0.25">
      <c r="A289" t="s">
        <v>43</v>
      </c>
      <c r="B289">
        <v>16</v>
      </c>
      <c r="C289" s="1">
        <v>41622</v>
      </c>
      <c r="D289" s="2">
        <v>0.64583333333333337</v>
      </c>
      <c r="E289" t="s">
        <v>4</v>
      </c>
      <c r="F289" t="s">
        <v>27</v>
      </c>
      <c r="G289">
        <v>3</v>
      </c>
      <c r="H289">
        <v>1</v>
      </c>
      <c r="I289">
        <f t="shared" si="12"/>
        <v>1</v>
      </c>
      <c r="J289">
        <v>0</v>
      </c>
      <c r="K289">
        <f t="shared" si="13"/>
        <v>1</v>
      </c>
      <c r="L289">
        <f t="shared" si="14"/>
        <v>0</v>
      </c>
    </row>
    <row r="290" spans="1:12" x14ac:dyDescent="0.25">
      <c r="A290" t="s">
        <v>43</v>
      </c>
      <c r="B290">
        <v>18</v>
      </c>
      <c r="C290" s="1">
        <v>41663</v>
      </c>
      <c r="D290" s="2">
        <v>0.85416666666666663</v>
      </c>
      <c r="E290" t="s">
        <v>2</v>
      </c>
      <c r="F290" t="s">
        <v>3</v>
      </c>
      <c r="G290">
        <v>2</v>
      </c>
      <c r="H290">
        <v>0</v>
      </c>
      <c r="I290">
        <f t="shared" si="12"/>
        <v>1</v>
      </c>
      <c r="J290">
        <v>0</v>
      </c>
      <c r="K290">
        <f t="shared" si="13"/>
        <v>1</v>
      </c>
      <c r="L290">
        <f t="shared" si="14"/>
        <v>0</v>
      </c>
    </row>
    <row r="291" spans="1:12" x14ac:dyDescent="0.25">
      <c r="A291" t="s">
        <v>43</v>
      </c>
      <c r="B291">
        <v>17</v>
      </c>
      <c r="C291" s="1">
        <v>41668</v>
      </c>
      <c r="D291" s="2">
        <v>0.83333333333333337</v>
      </c>
      <c r="E291" t="s">
        <v>2</v>
      </c>
      <c r="F291" t="s">
        <v>19</v>
      </c>
      <c r="G291">
        <v>2</v>
      </c>
      <c r="H291">
        <v>1</v>
      </c>
      <c r="I291">
        <f t="shared" si="12"/>
        <v>1</v>
      </c>
      <c r="J291">
        <v>0</v>
      </c>
      <c r="K291">
        <f t="shared" si="13"/>
        <v>1</v>
      </c>
      <c r="L291">
        <f t="shared" si="14"/>
        <v>0</v>
      </c>
    </row>
    <row r="292" spans="1:12" x14ac:dyDescent="0.25">
      <c r="A292" t="s">
        <v>43</v>
      </c>
      <c r="B292">
        <v>19</v>
      </c>
      <c r="C292" s="1">
        <v>41672</v>
      </c>
      <c r="D292" s="2">
        <v>0.72916666666666663</v>
      </c>
      <c r="E292" t="s">
        <v>4</v>
      </c>
      <c r="F292" t="s">
        <v>10</v>
      </c>
      <c r="G292">
        <v>5</v>
      </c>
      <c r="H292">
        <v>0</v>
      </c>
      <c r="I292">
        <f t="shared" si="12"/>
        <v>1</v>
      </c>
      <c r="J292">
        <v>0</v>
      </c>
      <c r="K292">
        <f t="shared" si="13"/>
        <v>1</v>
      </c>
      <c r="L292">
        <f t="shared" si="14"/>
        <v>0</v>
      </c>
    </row>
    <row r="293" spans="1:12" x14ac:dyDescent="0.25">
      <c r="A293" t="s">
        <v>43</v>
      </c>
      <c r="B293">
        <v>20</v>
      </c>
      <c r="C293" s="1">
        <v>41678</v>
      </c>
      <c r="D293" s="2">
        <v>0.64583333333333337</v>
      </c>
      <c r="E293" t="s">
        <v>2</v>
      </c>
      <c r="F293" t="s">
        <v>25</v>
      </c>
      <c r="G293">
        <v>2</v>
      </c>
      <c r="H293">
        <v>0</v>
      </c>
      <c r="I293">
        <f t="shared" si="12"/>
        <v>1</v>
      </c>
      <c r="J293">
        <v>0</v>
      </c>
      <c r="K293">
        <f t="shared" si="13"/>
        <v>1</v>
      </c>
      <c r="L293">
        <f t="shared" si="14"/>
        <v>0</v>
      </c>
    </row>
    <row r="294" spans="1:12" x14ac:dyDescent="0.25">
      <c r="A294" t="s">
        <v>43</v>
      </c>
      <c r="B294">
        <v>21</v>
      </c>
      <c r="C294" s="1">
        <v>41685</v>
      </c>
      <c r="D294" s="2">
        <v>0.64583333333333337</v>
      </c>
      <c r="E294" t="s">
        <v>4</v>
      </c>
      <c r="F294" t="s">
        <v>14</v>
      </c>
      <c r="G294">
        <v>4</v>
      </c>
      <c r="H294">
        <v>0</v>
      </c>
      <c r="I294">
        <f t="shared" si="12"/>
        <v>1</v>
      </c>
      <c r="J294">
        <v>0</v>
      </c>
      <c r="K294">
        <f t="shared" si="13"/>
        <v>1</v>
      </c>
      <c r="L294">
        <f t="shared" si="14"/>
        <v>0</v>
      </c>
    </row>
    <row r="295" spans="1:12" x14ac:dyDescent="0.25">
      <c r="A295" t="s">
        <v>43</v>
      </c>
      <c r="B295">
        <v>22</v>
      </c>
      <c r="C295" s="1">
        <v>41693</v>
      </c>
      <c r="D295" s="2">
        <v>0.72916666666666663</v>
      </c>
      <c r="E295" t="s">
        <v>2</v>
      </c>
      <c r="F295" t="s">
        <v>26</v>
      </c>
      <c r="G295">
        <v>4</v>
      </c>
      <c r="H295">
        <v>0</v>
      </c>
      <c r="I295">
        <f t="shared" si="12"/>
        <v>1</v>
      </c>
      <c r="J295">
        <v>0</v>
      </c>
      <c r="K295">
        <f t="shared" si="13"/>
        <v>1</v>
      </c>
      <c r="L295">
        <f t="shared" si="14"/>
        <v>0</v>
      </c>
    </row>
    <row r="296" spans="1:12" x14ac:dyDescent="0.25">
      <c r="A296" t="s">
        <v>43</v>
      </c>
      <c r="B296">
        <v>23</v>
      </c>
      <c r="C296" s="1">
        <v>41699</v>
      </c>
      <c r="D296" s="2">
        <v>0.77083333333333337</v>
      </c>
      <c r="E296" t="s">
        <v>4</v>
      </c>
      <c r="F296" t="s">
        <v>21</v>
      </c>
      <c r="G296">
        <v>5</v>
      </c>
      <c r="H296">
        <v>1</v>
      </c>
      <c r="I296">
        <f t="shared" si="12"/>
        <v>1</v>
      </c>
      <c r="J296">
        <v>0</v>
      </c>
      <c r="K296">
        <f t="shared" si="13"/>
        <v>1</v>
      </c>
      <c r="L296">
        <f t="shared" si="14"/>
        <v>0</v>
      </c>
    </row>
    <row r="297" spans="1:12" x14ac:dyDescent="0.25">
      <c r="A297" t="s">
        <v>43</v>
      </c>
      <c r="B297">
        <v>24</v>
      </c>
      <c r="C297" s="1">
        <v>41706</v>
      </c>
      <c r="D297" s="2">
        <v>0.64583333333333337</v>
      </c>
      <c r="E297" t="s">
        <v>2</v>
      </c>
      <c r="F297" t="s">
        <v>20</v>
      </c>
      <c r="G297">
        <v>6</v>
      </c>
      <c r="H297">
        <v>1</v>
      </c>
      <c r="I297">
        <f t="shared" si="12"/>
        <v>1</v>
      </c>
      <c r="J297">
        <v>0</v>
      </c>
      <c r="K297">
        <f t="shared" si="13"/>
        <v>1</v>
      </c>
      <c r="L297">
        <f t="shared" si="14"/>
        <v>0</v>
      </c>
    </row>
    <row r="298" spans="1:12" x14ac:dyDescent="0.25">
      <c r="A298" t="s">
        <v>43</v>
      </c>
      <c r="B298">
        <v>25</v>
      </c>
      <c r="C298" s="1">
        <v>41713</v>
      </c>
      <c r="D298" s="2">
        <v>0.77083333333333337</v>
      </c>
      <c r="E298" t="s">
        <v>4</v>
      </c>
      <c r="F298" t="s">
        <v>11</v>
      </c>
      <c r="G298">
        <v>2</v>
      </c>
      <c r="H298">
        <v>1</v>
      </c>
      <c r="I298">
        <f t="shared" si="12"/>
        <v>1</v>
      </c>
      <c r="J298">
        <v>0</v>
      </c>
      <c r="K298">
        <f t="shared" si="13"/>
        <v>1</v>
      </c>
      <c r="L298">
        <f t="shared" si="14"/>
        <v>0</v>
      </c>
    </row>
    <row r="299" spans="1:12" x14ac:dyDescent="0.25">
      <c r="A299" t="s">
        <v>43</v>
      </c>
      <c r="B299">
        <v>26</v>
      </c>
      <c r="C299" s="1">
        <v>41720</v>
      </c>
      <c r="D299" s="2">
        <v>0.64583333333333337</v>
      </c>
      <c r="E299" t="s">
        <v>2</v>
      </c>
      <c r="F299" t="s">
        <v>18</v>
      </c>
      <c r="G299">
        <v>2</v>
      </c>
      <c r="H299">
        <v>0</v>
      </c>
      <c r="I299">
        <f t="shared" si="12"/>
        <v>1</v>
      </c>
      <c r="J299">
        <v>0</v>
      </c>
      <c r="K299">
        <f t="shared" si="13"/>
        <v>1</v>
      </c>
      <c r="L299">
        <f t="shared" si="14"/>
        <v>0</v>
      </c>
    </row>
    <row r="300" spans="1:12" x14ac:dyDescent="0.25">
      <c r="A300" s="3" t="s">
        <v>43</v>
      </c>
      <c r="B300" s="3">
        <v>27</v>
      </c>
      <c r="C300" s="4">
        <v>41723</v>
      </c>
      <c r="D300" s="5">
        <v>0.83333333333333337</v>
      </c>
      <c r="E300" s="3" t="s">
        <v>2</v>
      </c>
      <c r="F300" s="3" t="s">
        <v>6</v>
      </c>
      <c r="G300" s="3">
        <v>3</v>
      </c>
      <c r="H300" s="3">
        <v>1</v>
      </c>
      <c r="I300" s="3">
        <f t="shared" si="12"/>
        <v>1</v>
      </c>
      <c r="J300" s="3">
        <v>0</v>
      </c>
      <c r="K300">
        <f t="shared" si="13"/>
        <v>1</v>
      </c>
      <c r="L300">
        <f t="shared" si="14"/>
        <v>0</v>
      </c>
    </row>
    <row r="301" spans="1:12" x14ac:dyDescent="0.25">
      <c r="A301" t="s">
        <v>43</v>
      </c>
      <c r="B301">
        <v>28</v>
      </c>
      <c r="C301" s="1">
        <v>41727</v>
      </c>
      <c r="D301" s="2">
        <v>0.64583333333333337</v>
      </c>
      <c r="E301" t="s">
        <v>4</v>
      </c>
      <c r="F301" t="s">
        <v>12</v>
      </c>
      <c r="G301">
        <v>3</v>
      </c>
      <c r="H301">
        <v>3</v>
      </c>
      <c r="I301">
        <f t="shared" si="12"/>
        <v>0</v>
      </c>
      <c r="J301">
        <v>1</v>
      </c>
      <c r="K301">
        <f t="shared" si="13"/>
        <v>1</v>
      </c>
      <c r="L301">
        <f t="shared" si="14"/>
        <v>0</v>
      </c>
    </row>
    <row r="302" spans="1:12" x14ac:dyDescent="0.25">
      <c r="A302" t="s">
        <v>43</v>
      </c>
      <c r="B302">
        <v>29</v>
      </c>
      <c r="C302" s="1">
        <v>41734</v>
      </c>
      <c r="D302" s="2">
        <v>0.64583333333333337</v>
      </c>
      <c r="E302" t="s">
        <v>2</v>
      </c>
      <c r="F302" t="s">
        <v>15</v>
      </c>
      <c r="G302">
        <v>0</v>
      </c>
      <c r="H302">
        <v>1</v>
      </c>
      <c r="I302">
        <f t="shared" si="12"/>
        <v>0</v>
      </c>
      <c r="J302">
        <v>1</v>
      </c>
      <c r="K302">
        <f t="shared" si="13"/>
        <v>0</v>
      </c>
      <c r="L302">
        <f t="shared" si="14"/>
        <v>1</v>
      </c>
    </row>
    <row r="303" spans="1:12" x14ac:dyDescent="0.25">
      <c r="A303" t="s">
        <v>43</v>
      </c>
      <c r="B303">
        <v>30</v>
      </c>
      <c r="C303" s="1">
        <v>41741</v>
      </c>
      <c r="D303" s="2">
        <v>0.77083333333333337</v>
      </c>
      <c r="E303" t="s">
        <v>4</v>
      </c>
      <c r="F303" t="s">
        <v>17</v>
      </c>
      <c r="G303">
        <v>0</v>
      </c>
      <c r="H303">
        <v>3</v>
      </c>
      <c r="I303">
        <f t="shared" si="12"/>
        <v>0</v>
      </c>
      <c r="J303">
        <v>1</v>
      </c>
      <c r="K303">
        <f t="shared" si="13"/>
        <v>0</v>
      </c>
      <c r="L303">
        <f t="shared" si="14"/>
        <v>1</v>
      </c>
    </row>
    <row r="304" spans="1:12" x14ac:dyDescent="0.25">
      <c r="A304" t="s">
        <v>43</v>
      </c>
      <c r="B304">
        <v>31</v>
      </c>
      <c r="C304" s="1">
        <v>41748</v>
      </c>
      <c r="D304" s="2">
        <v>0.64583333333333337</v>
      </c>
      <c r="E304" t="s">
        <v>2</v>
      </c>
      <c r="F304" t="s">
        <v>30</v>
      </c>
      <c r="G304">
        <v>2</v>
      </c>
      <c r="H304">
        <v>0</v>
      </c>
      <c r="I304">
        <f t="shared" si="12"/>
        <v>1</v>
      </c>
      <c r="J304">
        <v>1</v>
      </c>
      <c r="K304">
        <f t="shared" si="13"/>
        <v>1</v>
      </c>
      <c r="L304">
        <f t="shared" si="14"/>
        <v>0</v>
      </c>
    </row>
    <row r="305" spans="1:12" x14ac:dyDescent="0.25">
      <c r="A305" t="s">
        <v>43</v>
      </c>
      <c r="B305">
        <v>32</v>
      </c>
      <c r="C305" s="1">
        <v>41755</v>
      </c>
      <c r="D305" s="2">
        <v>0.64583333333333337</v>
      </c>
      <c r="E305" t="s">
        <v>4</v>
      </c>
      <c r="F305" t="s">
        <v>22</v>
      </c>
      <c r="G305">
        <v>5</v>
      </c>
      <c r="H305">
        <v>2</v>
      </c>
      <c r="I305">
        <f t="shared" si="12"/>
        <v>1</v>
      </c>
      <c r="J305">
        <v>1</v>
      </c>
      <c r="K305">
        <f t="shared" si="13"/>
        <v>1</v>
      </c>
      <c r="L305">
        <f t="shared" si="14"/>
        <v>0</v>
      </c>
    </row>
    <row r="306" spans="1:12" x14ac:dyDescent="0.25">
      <c r="A306" t="s">
        <v>43</v>
      </c>
      <c r="B306">
        <v>33</v>
      </c>
      <c r="C306" s="1">
        <v>41762</v>
      </c>
      <c r="D306" s="2">
        <v>0.64583333333333337</v>
      </c>
      <c r="E306" t="s">
        <v>2</v>
      </c>
      <c r="F306" t="s">
        <v>27</v>
      </c>
      <c r="G306">
        <v>4</v>
      </c>
      <c r="H306">
        <v>1</v>
      </c>
      <c r="I306">
        <f t="shared" si="12"/>
        <v>1</v>
      </c>
      <c r="J306">
        <v>1</v>
      </c>
      <c r="K306">
        <f t="shared" si="13"/>
        <v>1</v>
      </c>
      <c r="L306">
        <f t="shared" si="14"/>
        <v>0</v>
      </c>
    </row>
    <row r="307" spans="1:12" x14ac:dyDescent="0.25">
      <c r="A307" t="s">
        <v>43</v>
      </c>
      <c r="B307">
        <v>34</v>
      </c>
      <c r="C307" s="1">
        <v>41769</v>
      </c>
      <c r="D307" s="2">
        <v>0.64583333333333337</v>
      </c>
      <c r="E307" t="s">
        <v>4</v>
      </c>
      <c r="F307" t="s">
        <v>19</v>
      </c>
      <c r="G307">
        <v>1</v>
      </c>
      <c r="H307">
        <v>0</v>
      </c>
      <c r="I307">
        <f t="shared" si="12"/>
        <v>1</v>
      </c>
      <c r="J307">
        <v>1</v>
      </c>
      <c r="K307">
        <f t="shared" si="13"/>
        <v>1</v>
      </c>
      <c r="L307">
        <f t="shared" si="14"/>
        <v>0</v>
      </c>
    </row>
    <row r="308" spans="1:12" x14ac:dyDescent="0.25">
      <c r="A308" t="s">
        <v>44</v>
      </c>
      <c r="B308">
        <v>1</v>
      </c>
      <c r="C308" s="1">
        <v>41146</v>
      </c>
      <c r="D308" s="2">
        <v>0.64583333333333337</v>
      </c>
      <c r="E308" t="s">
        <v>2</v>
      </c>
      <c r="F308" t="s">
        <v>9</v>
      </c>
      <c r="G308">
        <v>3</v>
      </c>
      <c r="H308">
        <v>0</v>
      </c>
      <c r="I308">
        <f t="shared" si="12"/>
        <v>1</v>
      </c>
      <c r="J308">
        <v>0</v>
      </c>
      <c r="K308">
        <f t="shared" si="13"/>
        <v>1</v>
      </c>
      <c r="L308">
        <f t="shared" si="14"/>
        <v>0</v>
      </c>
    </row>
    <row r="309" spans="1:12" x14ac:dyDescent="0.25">
      <c r="A309" t="s">
        <v>44</v>
      </c>
      <c r="B309">
        <v>2</v>
      </c>
      <c r="C309" s="1">
        <v>41154</v>
      </c>
      <c r="D309" s="2">
        <v>0.72916666666666663</v>
      </c>
      <c r="E309" t="s">
        <v>4</v>
      </c>
      <c r="F309" t="s">
        <v>19</v>
      </c>
      <c r="G309">
        <v>6</v>
      </c>
      <c r="H309">
        <v>1</v>
      </c>
      <c r="I309">
        <f t="shared" si="12"/>
        <v>1</v>
      </c>
      <c r="J309">
        <v>0</v>
      </c>
      <c r="K309">
        <f t="shared" si="13"/>
        <v>1</v>
      </c>
      <c r="L309">
        <f t="shared" si="14"/>
        <v>0</v>
      </c>
    </row>
    <row r="310" spans="1:12" x14ac:dyDescent="0.25">
      <c r="A310" t="s">
        <v>44</v>
      </c>
      <c r="B310">
        <v>3</v>
      </c>
      <c r="C310" s="1">
        <v>41167</v>
      </c>
      <c r="D310" s="2">
        <v>0.64583333333333337</v>
      </c>
      <c r="E310" t="s">
        <v>4</v>
      </c>
      <c r="F310" t="s">
        <v>18</v>
      </c>
      <c r="G310">
        <v>3</v>
      </c>
      <c r="H310">
        <v>1</v>
      </c>
      <c r="I310">
        <f t="shared" si="12"/>
        <v>1</v>
      </c>
      <c r="J310">
        <v>0</v>
      </c>
      <c r="K310">
        <f t="shared" si="13"/>
        <v>1</v>
      </c>
      <c r="L310">
        <f t="shared" si="14"/>
        <v>0</v>
      </c>
    </row>
    <row r="311" spans="1:12" x14ac:dyDescent="0.25">
      <c r="A311" t="s">
        <v>44</v>
      </c>
      <c r="B311">
        <v>4</v>
      </c>
      <c r="C311" s="1">
        <v>41174</v>
      </c>
      <c r="D311" s="2">
        <v>0.64583333333333337</v>
      </c>
      <c r="E311" t="s">
        <v>2</v>
      </c>
      <c r="F311" t="s">
        <v>21</v>
      </c>
      <c r="G311">
        <v>2</v>
      </c>
      <c r="H311">
        <v>0</v>
      </c>
      <c r="I311">
        <f t="shared" si="12"/>
        <v>1</v>
      </c>
      <c r="J311">
        <v>0</v>
      </c>
      <c r="K311">
        <f t="shared" si="13"/>
        <v>1</v>
      </c>
      <c r="L311">
        <f t="shared" si="14"/>
        <v>0</v>
      </c>
    </row>
    <row r="312" spans="1:12" x14ac:dyDescent="0.25">
      <c r="A312" t="s">
        <v>44</v>
      </c>
      <c r="B312">
        <v>5</v>
      </c>
      <c r="C312" s="1">
        <v>41177</v>
      </c>
      <c r="D312" s="2">
        <v>0.83333333333333337</v>
      </c>
      <c r="E312" t="s">
        <v>4</v>
      </c>
      <c r="F312" t="s">
        <v>20</v>
      </c>
      <c r="G312">
        <v>3</v>
      </c>
      <c r="H312">
        <v>0</v>
      </c>
      <c r="I312">
        <f t="shared" si="12"/>
        <v>1</v>
      </c>
      <c r="J312">
        <v>0</v>
      </c>
      <c r="K312">
        <f t="shared" si="13"/>
        <v>1</v>
      </c>
      <c r="L312">
        <f t="shared" si="14"/>
        <v>0</v>
      </c>
    </row>
    <row r="313" spans="1:12" x14ac:dyDescent="0.25">
      <c r="A313" t="s">
        <v>44</v>
      </c>
      <c r="B313">
        <v>6</v>
      </c>
      <c r="C313" s="1">
        <v>41181</v>
      </c>
      <c r="D313" s="2">
        <v>0.64583333333333337</v>
      </c>
      <c r="E313" t="s">
        <v>2</v>
      </c>
      <c r="F313" t="s">
        <v>22</v>
      </c>
      <c r="G313">
        <v>2</v>
      </c>
      <c r="H313">
        <v>0</v>
      </c>
      <c r="I313">
        <f t="shared" si="12"/>
        <v>1</v>
      </c>
      <c r="J313">
        <v>0</v>
      </c>
      <c r="K313">
        <f t="shared" si="13"/>
        <v>1</v>
      </c>
      <c r="L313">
        <f t="shared" si="14"/>
        <v>0</v>
      </c>
    </row>
    <row r="314" spans="1:12" x14ac:dyDescent="0.25">
      <c r="A314" t="s">
        <v>44</v>
      </c>
      <c r="B314">
        <v>7</v>
      </c>
      <c r="C314" s="1">
        <v>41188</v>
      </c>
      <c r="D314" s="2">
        <v>0.64583333333333337</v>
      </c>
      <c r="E314" t="s">
        <v>4</v>
      </c>
      <c r="F314" t="s">
        <v>12</v>
      </c>
      <c r="G314">
        <v>2</v>
      </c>
      <c r="H314">
        <v>0</v>
      </c>
      <c r="I314">
        <f t="shared" si="12"/>
        <v>1</v>
      </c>
      <c r="J314">
        <v>0</v>
      </c>
      <c r="K314">
        <f t="shared" si="13"/>
        <v>1</v>
      </c>
      <c r="L314">
        <f t="shared" si="14"/>
        <v>0</v>
      </c>
    </row>
    <row r="315" spans="1:12" x14ac:dyDescent="0.25">
      <c r="A315" t="s">
        <v>44</v>
      </c>
      <c r="B315">
        <v>8</v>
      </c>
      <c r="C315" s="1">
        <v>41202</v>
      </c>
      <c r="D315" s="2">
        <v>0.64583333333333337</v>
      </c>
      <c r="E315" t="s">
        <v>2</v>
      </c>
      <c r="F315" t="s">
        <v>24</v>
      </c>
      <c r="G315">
        <v>5</v>
      </c>
      <c r="H315">
        <v>0</v>
      </c>
      <c r="I315">
        <f t="shared" si="12"/>
        <v>1</v>
      </c>
      <c r="J315">
        <v>0</v>
      </c>
      <c r="K315">
        <f t="shared" si="13"/>
        <v>1</v>
      </c>
      <c r="L315">
        <f t="shared" si="14"/>
        <v>0</v>
      </c>
    </row>
    <row r="316" spans="1:12" x14ac:dyDescent="0.25">
      <c r="A316" t="s">
        <v>44</v>
      </c>
      <c r="B316">
        <v>9</v>
      </c>
      <c r="C316" s="1">
        <v>41210</v>
      </c>
      <c r="D316" s="2">
        <v>0.72916666666666663</v>
      </c>
      <c r="E316" t="s">
        <v>4</v>
      </c>
      <c r="F316" t="s">
        <v>11</v>
      </c>
      <c r="G316">
        <v>1</v>
      </c>
      <c r="H316">
        <v>2</v>
      </c>
      <c r="I316">
        <f t="shared" si="12"/>
        <v>0</v>
      </c>
      <c r="J316">
        <v>0</v>
      </c>
      <c r="K316">
        <f t="shared" si="13"/>
        <v>0</v>
      </c>
      <c r="L316">
        <f t="shared" si="14"/>
        <v>1</v>
      </c>
    </row>
    <row r="317" spans="1:12" x14ac:dyDescent="0.25">
      <c r="A317" t="s">
        <v>44</v>
      </c>
      <c r="B317">
        <v>10</v>
      </c>
      <c r="C317" s="1">
        <v>41216</v>
      </c>
      <c r="D317" s="2">
        <v>0.77083333333333337</v>
      </c>
      <c r="E317" t="s">
        <v>2</v>
      </c>
      <c r="F317" t="s">
        <v>27</v>
      </c>
      <c r="G317">
        <v>3</v>
      </c>
      <c r="H317">
        <v>0</v>
      </c>
      <c r="I317">
        <f t="shared" si="12"/>
        <v>1</v>
      </c>
      <c r="J317">
        <v>0</v>
      </c>
      <c r="K317">
        <f t="shared" si="13"/>
        <v>1</v>
      </c>
      <c r="L317">
        <f t="shared" si="14"/>
        <v>0</v>
      </c>
    </row>
    <row r="318" spans="1:12" x14ac:dyDescent="0.25">
      <c r="A318" t="s">
        <v>44</v>
      </c>
      <c r="B318">
        <v>11</v>
      </c>
      <c r="C318" s="1">
        <v>41223</v>
      </c>
      <c r="D318" s="2">
        <v>0.64583333333333337</v>
      </c>
      <c r="E318" t="s">
        <v>4</v>
      </c>
      <c r="F318" t="s">
        <v>10</v>
      </c>
      <c r="G318">
        <v>2</v>
      </c>
      <c r="H318">
        <v>0</v>
      </c>
      <c r="I318">
        <f t="shared" si="12"/>
        <v>1</v>
      </c>
      <c r="J318">
        <v>0</v>
      </c>
      <c r="K318">
        <f t="shared" si="13"/>
        <v>1</v>
      </c>
      <c r="L318">
        <f t="shared" si="14"/>
        <v>0</v>
      </c>
    </row>
    <row r="319" spans="1:12" x14ac:dyDescent="0.25">
      <c r="A319" t="s">
        <v>44</v>
      </c>
      <c r="B319">
        <v>12</v>
      </c>
      <c r="C319" s="1">
        <v>41230</v>
      </c>
      <c r="D319" s="2">
        <v>0.64583333333333337</v>
      </c>
      <c r="E319" t="s">
        <v>2</v>
      </c>
      <c r="F319" t="s">
        <v>25</v>
      </c>
      <c r="G319">
        <v>1</v>
      </c>
      <c r="H319">
        <v>1</v>
      </c>
      <c r="I319">
        <f t="shared" si="12"/>
        <v>0</v>
      </c>
      <c r="J319">
        <v>0</v>
      </c>
      <c r="K319">
        <f t="shared" si="13"/>
        <v>1</v>
      </c>
      <c r="L319">
        <f t="shared" si="14"/>
        <v>0</v>
      </c>
    </row>
    <row r="320" spans="1:12" x14ac:dyDescent="0.25">
      <c r="A320" t="s">
        <v>44</v>
      </c>
      <c r="B320">
        <v>13</v>
      </c>
      <c r="C320" s="1">
        <v>41237</v>
      </c>
      <c r="D320" s="2">
        <v>0.64583333333333337</v>
      </c>
      <c r="E320" t="s">
        <v>4</v>
      </c>
      <c r="F320" t="s">
        <v>26</v>
      </c>
      <c r="G320">
        <v>5</v>
      </c>
      <c r="H320">
        <v>0</v>
      </c>
      <c r="I320">
        <f t="shared" si="12"/>
        <v>1</v>
      </c>
      <c r="J320">
        <v>0</v>
      </c>
      <c r="K320">
        <f t="shared" si="13"/>
        <v>1</v>
      </c>
      <c r="L320">
        <f t="shared" si="14"/>
        <v>0</v>
      </c>
    </row>
    <row r="321" spans="1:12" x14ac:dyDescent="0.25">
      <c r="A321" t="s">
        <v>44</v>
      </c>
      <c r="B321">
        <v>14</v>
      </c>
      <c r="C321" s="1">
        <v>41241</v>
      </c>
      <c r="D321" s="2">
        <v>0.83333333333333337</v>
      </c>
      <c r="E321" t="s">
        <v>2</v>
      </c>
      <c r="F321" t="s">
        <v>14</v>
      </c>
      <c r="G321">
        <v>2</v>
      </c>
      <c r="H321">
        <v>0</v>
      </c>
      <c r="I321">
        <f t="shared" si="12"/>
        <v>1</v>
      </c>
      <c r="J321">
        <v>0</v>
      </c>
      <c r="K321">
        <f t="shared" si="13"/>
        <v>1</v>
      </c>
      <c r="L321">
        <f t="shared" si="14"/>
        <v>0</v>
      </c>
    </row>
    <row r="322" spans="1:12" x14ac:dyDescent="0.25">
      <c r="A322" t="s">
        <v>44</v>
      </c>
      <c r="B322">
        <v>15</v>
      </c>
      <c r="C322" s="1">
        <v>41244</v>
      </c>
      <c r="D322" s="2">
        <v>0.77083333333333337</v>
      </c>
      <c r="E322" t="s">
        <v>4</v>
      </c>
      <c r="F322" t="s">
        <v>17</v>
      </c>
      <c r="G322">
        <v>1</v>
      </c>
      <c r="H322">
        <v>1</v>
      </c>
      <c r="I322">
        <f t="shared" si="12"/>
        <v>0</v>
      </c>
      <c r="J322">
        <v>0</v>
      </c>
      <c r="K322">
        <f t="shared" si="13"/>
        <v>1</v>
      </c>
      <c r="L322">
        <f t="shared" si="14"/>
        <v>0</v>
      </c>
    </row>
    <row r="323" spans="1:12" x14ac:dyDescent="0.25">
      <c r="A323" t="s">
        <v>44</v>
      </c>
      <c r="B323">
        <v>16</v>
      </c>
      <c r="C323" s="1">
        <v>41251</v>
      </c>
      <c r="D323" s="2">
        <v>0.64583333333333337</v>
      </c>
      <c r="E323" t="s">
        <v>2</v>
      </c>
      <c r="F323" t="s">
        <v>15</v>
      </c>
      <c r="G323">
        <v>2</v>
      </c>
      <c r="H323">
        <v>0</v>
      </c>
      <c r="I323">
        <f t="shared" ref="I323:I341" si="15">IF(G323&gt;H323,1,0)</f>
        <v>1</v>
      </c>
      <c r="J323">
        <v>0</v>
      </c>
      <c r="K323">
        <f t="shared" ref="K323:K341" si="16">IF(G323&gt;=H323,1,0)</f>
        <v>1</v>
      </c>
      <c r="L323">
        <f t="shared" ref="L323:L341" si="17">IF(H323&gt;G323,1,0)</f>
        <v>0</v>
      </c>
    </row>
    <row r="324" spans="1:12" x14ac:dyDescent="0.25">
      <c r="A324" t="s">
        <v>44</v>
      </c>
      <c r="B324">
        <v>17</v>
      </c>
      <c r="C324" s="1">
        <v>41257</v>
      </c>
      <c r="D324" s="2">
        <v>0.85416666666666663</v>
      </c>
      <c r="E324" t="s">
        <v>4</v>
      </c>
      <c r="F324" t="s">
        <v>3</v>
      </c>
      <c r="G324">
        <v>1</v>
      </c>
      <c r="H324">
        <v>1</v>
      </c>
      <c r="I324">
        <f t="shared" si="15"/>
        <v>0</v>
      </c>
      <c r="J324">
        <v>0</v>
      </c>
      <c r="K324">
        <f t="shared" si="16"/>
        <v>1</v>
      </c>
      <c r="L324">
        <f t="shared" si="17"/>
        <v>0</v>
      </c>
    </row>
    <row r="325" spans="1:12" x14ac:dyDescent="0.25">
      <c r="A325" t="s">
        <v>44</v>
      </c>
      <c r="B325">
        <v>18</v>
      </c>
      <c r="C325" s="1">
        <v>41293</v>
      </c>
      <c r="D325" s="2">
        <v>0.64583333333333337</v>
      </c>
      <c r="E325" t="s">
        <v>4</v>
      </c>
      <c r="F325" t="s">
        <v>9</v>
      </c>
      <c r="G325">
        <v>2</v>
      </c>
      <c r="H325">
        <v>0</v>
      </c>
      <c r="I325">
        <f t="shared" si="15"/>
        <v>1</v>
      </c>
      <c r="J325">
        <v>0</v>
      </c>
      <c r="K325">
        <f t="shared" si="16"/>
        <v>1</v>
      </c>
      <c r="L325">
        <f t="shared" si="17"/>
        <v>0</v>
      </c>
    </row>
    <row r="326" spans="1:12" x14ac:dyDescent="0.25">
      <c r="A326" t="s">
        <v>44</v>
      </c>
      <c r="B326">
        <v>19</v>
      </c>
      <c r="C326" s="1">
        <v>41301</v>
      </c>
      <c r="D326" s="2">
        <v>0.72916666666666663</v>
      </c>
      <c r="E326" t="s">
        <v>2</v>
      </c>
      <c r="F326" t="s">
        <v>19</v>
      </c>
      <c r="G326">
        <v>2</v>
      </c>
      <c r="H326">
        <v>0</v>
      </c>
      <c r="I326">
        <f t="shared" si="15"/>
        <v>1</v>
      </c>
      <c r="J326">
        <v>0</v>
      </c>
      <c r="K326">
        <f t="shared" si="16"/>
        <v>1</v>
      </c>
      <c r="L326">
        <f t="shared" si="17"/>
        <v>0</v>
      </c>
    </row>
    <row r="327" spans="1:12" x14ac:dyDescent="0.25">
      <c r="A327" t="s">
        <v>44</v>
      </c>
      <c r="B327">
        <v>20</v>
      </c>
      <c r="C327" s="1">
        <v>41307</v>
      </c>
      <c r="D327" s="2">
        <v>0.64583333333333337</v>
      </c>
      <c r="E327" t="s">
        <v>2</v>
      </c>
      <c r="F327" t="s">
        <v>18</v>
      </c>
      <c r="G327">
        <v>3</v>
      </c>
      <c r="H327">
        <v>0</v>
      </c>
      <c r="I327">
        <f t="shared" si="15"/>
        <v>1</v>
      </c>
      <c r="J327">
        <v>0</v>
      </c>
      <c r="K327">
        <f t="shared" si="16"/>
        <v>1</v>
      </c>
      <c r="L327">
        <f t="shared" si="17"/>
        <v>0</v>
      </c>
    </row>
    <row r="328" spans="1:12" x14ac:dyDescent="0.25">
      <c r="A328" t="s">
        <v>44</v>
      </c>
      <c r="B328">
        <v>21</v>
      </c>
      <c r="C328" s="1">
        <v>41314</v>
      </c>
      <c r="D328" s="2">
        <v>0.77083333333333337</v>
      </c>
      <c r="E328" t="s">
        <v>4</v>
      </c>
      <c r="F328" t="s">
        <v>21</v>
      </c>
      <c r="G328">
        <v>4</v>
      </c>
      <c r="H328">
        <v>0</v>
      </c>
      <c r="I328">
        <f t="shared" si="15"/>
        <v>1</v>
      </c>
      <c r="J328">
        <v>0</v>
      </c>
      <c r="K328">
        <f t="shared" si="16"/>
        <v>1</v>
      </c>
      <c r="L328">
        <f t="shared" si="17"/>
        <v>0</v>
      </c>
    </row>
    <row r="329" spans="1:12" x14ac:dyDescent="0.25">
      <c r="A329" t="s">
        <v>44</v>
      </c>
      <c r="B329">
        <v>22</v>
      </c>
      <c r="C329" s="1">
        <v>41320</v>
      </c>
      <c r="D329" s="2">
        <v>0.85416666666666663</v>
      </c>
      <c r="E329" t="s">
        <v>2</v>
      </c>
      <c r="F329" t="s">
        <v>20</v>
      </c>
      <c r="G329">
        <v>2</v>
      </c>
      <c r="H329">
        <v>0</v>
      </c>
      <c r="I329">
        <f t="shared" si="15"/>
        <v>1</v>
      </c>
      <c r="J329">
        <v>0</v>
      </c>
      <c r="K329">
        <f t="shared" si="16"/>
        <v>1</v>
      </c>
      <c r="L329">
        <f t="shared" si="17"/>
        <v>0</v>
      </c>
    </row>
    <row r="330" spans="1:12" x14ac:dyDescent="0.25">
      <c r="A330" t="s">
        <v>44</v>
      </c>
      <c r="B330">
        <v>23</v>
      </c>
      <c r="C330" s="1">
        <v>41328</v>
      </c>
      <c r="D330" s="2">
        <v>0.64583333333333337</v>
      </c>
      <c r="E330" t="s">
        <v>4</v>
      </c>
      <c r="F330" t="s">
        <v>22</v>
      </c>
      <c r="G330">
        <v>6</v>
      </c>
      <c r="H330">
        <v>1</v>
      </c>
      <c r="I330">
        <f t="shared" si="15"/>
        <v>1</v>
      </c>
      <c r="J330">
        <v>0</v>
      </c>
      <c r="K330">
        <f t="shared" si="16"/>
        <v>1</v>
      </c>
      <c r="L330">
        <f t="shared" si="17"/>
        <v>0</v>
      </c>
    </row>
    <row r="331" spans="1:12" x14ac:dyDescent="0.25">
      <c r="A331" t="s">
        <v>44</v>
      </c>
      <c r="B331">
        <v>24</v>
      </c>
      <c r="C331" s="1">
        <v>41336</v>
      </c>
      <c r="D331" s="2">
        <v>0.64583333333333337</v>
      </c>
      <c r="E331" t="s">
        <v>2</v>
      </c>
      <c r="F331" t="s">
        <v>12</v>
      </c>
      <c r="G331">
        <v>1</v>
      </c>
      <c r="H331">
        <v>0</v>
      </c>
      <c r="I331">
        <f t="shared" si="15"/>
        <v>1</v>
      </c>
      <c r="J331">
        <v>0</v>
      </c>
      <c r="K331">
        <f t="shared" si="16"/>
        <v>1</v>
      </c>
      <c r="L331">
        <f t="shared" si="17"/>
        <v>0</v>
      </c>
    </row>
    <row r="332" spans="1:12" x14ac:dyDescent="0.25">
      <c r="A332" t="s">
        <v>44</v>
      </c>
      <c r="B332">
        <v>25</v>
      </c>
      <c r="C332" s="1">
        <v>41342</v>
      </c>
      <c r="D332" s="2">
        <v>0.64583333333333337</v>
      </c>
      <c r="E332" t="s">
        <v>4</v>
      </c>
      <c r="F332" t="s">
        <v>24</v>
      </c>
      <c r="G332">
        <v>3</v>
      </c>
      <c r="H332">
        <v>2</v>
      </c>
      <c r="I332">
        <f t="shared" si="15"/>
        <v>1</v>
      </c>
      <c r="J332">
        <v>0</v>
      </c>
      <c r="K332">
        <f t="shared" si="16"/>
        <v>1</v>
      </c>
      <c r="L332">
        <f t="shared" si="17"/>
        <v>0</v>
      </c>
    </row>
    <row r="333" spans="1:12" x14ac:dyDescent="0.25">
      <c r="A333" t="s">
        <v>44</v>
      </c>
      <c r="B333">
        <v>26</v>
      </c>
      <c r="C333" s="1">
        <v>41349</v>
      </c>
      <c r="D333" s="2">
        <v>0.77083333333333337</v>
      </c>
      <c r="E333" t="s">
        <v>2</v>
      </c>
      <c r="F333" t="s">
        <v>11</v>
      </c>
      <c r="G333">
        <v>2</v>
      </c>
      <c r="H333">
        <v>1</v>
      </c>
      <c r="I333">
        <f t="shared" si="15"/>
        <v>1</v>
      </c>
      <c r="J333">
        <v>0</v>
      </c>
      <c r="K333">
        <f t="shared" si="16"/>
        <v>1</v>
      </c>
      <c r="L333">
        <f t="shared" si="17"/>
        <v>0</v>
      </c>
    </row>
    <row r="334" spans="1:12" x14ac:dyDescent="0.25">
      <c r="A334" t="s">
        <v>44</v>
      </c>
      <c r="B334">
        <v>27</v>
      </c>
      <c r="C334" s="1">
        <v>41363</v>
      </c>
      <c r="D334" s="2">
        <v>0.77083333333333337</v>
      </c>
      <c r="E334" t="s">
        <v>4</v>
      </c>
      <c r="F334" t="s">
        <v>27</v>
      </c>
      <c r="G334">
        <v>9</v>
      </c>
      <c r="H334">
        <v>2</v>
      </c>
      <c r="I334">
        <f t="shared" si="15"/>
        <v>1</v>
      </c>
      <c r="J334">
        <v>0</v>
      </c>
      <c r="K334">
        <f t="shared" si="16"/>
        <v>1</v>
      </c>
      <c r="L334">
        <f t="shared" si="17"/>
        <v>0</v>
      </c>
    </row>
    <row r="335" spans="1:12" x14ac:dyDescent="0.25">
      <c r="A335" s="3" t="s">
        <v>44</v>
      </c>
      <c r="B335" s="3">
        <v>28</v>
      </c>
      <c r="C335" s="4">
        <v>41370</v>
      </c>
      <c r="D335" s="5">
        <v>0.64583333333333337</v>
      </c>
      <c r="E335" s="3" t="s">
        <v>2</v>
      </c>
      <c r="F335" s="3" t="s">
        <v>10</v>
      </c>
      <c r="G335" s="3">
        <v>1</v>
      </c>
      <c r="H335" s="3">
        <v>0</v>
      </c>
      <c r="I335" s="3">
        <f t="shared" si="15"/>
        <v>1</v>
      </c>
      <c r="J335" s="3">
        <v>0</v>
      </c>
      <c r="K335">
        <f t="shared" si="16"/>
        <v>1</v>
      </c>
      <c r="L335">
        <f t="shared" si="17"/>
        <v>0</v>
      </c>
    </row>
    <row r="336" spans="1:12" x14ac:dyDescent="0.25">
      <c r="A336" t="s">
        <v>44</v>
      </c>
      <c r="B336">
        <v>29</v>
      </c>
      <c r="C336" s="1">
        <v>41377</v>
      </c>
      <c r="D336" s="2">
        <v>0.64583333333333337</v>
      </c>
      <c r="E336" t="s">
        <v>4</v>
      </c>
      <c r="F336" t="s">
        <v>25</v>
      </c>
      <c r="G336">
        <v>4</v>
      </c>
      <c r="H336">
        <v>0</v>
      </c>
      <c r="I336">
        <f t="shared" si="15"/>
        <v>1</v>
      </c>
      <c r="J336">
        <v>1</v>
      </c>
      <c r="K336">
        <f t="shared" si="16"/>
        <v>1</v>
      </c>
      <c r="L336">
        <f t="shared" si="17"/>
        <v>0</v>
      </c>
    </row>
    <row r="337" spans="1:12" x14ac:dyDescent="0.25">
      <c r="A337" t="s">
        <v>44</v>
      </c>
      <c r="B337">
        <v>30</v>
      </c>
      <c r="C337" s="1">
        <v>41384</v>
      </c>
      <c r="D337" s="2">
        <v>0.64583333333333337</v>
      </c>
      <c r="E337" t="s">
        <v>2</v>
      </c>
      <c r="F337" t="s">
        <v>26</v>
      </c>
      <c r="G337">
        <v>6</v>
      </c>
      <c r="H337">
        <v>1</v>
      </c>
      <c r="I337">
        <f t="shared" si="15"/>
        <v>1</v>
      </c>
      <c r="J337">
        <v>1</v>
      </c>
      <c r="K337">
        <f t="shared" si="16"/>
        <v>1</v>
      </c>
      <c r="L337">
        <f t="shared" si="17"/>
        <v>0</v>
      </c>
    </row>
    <row r="338" spans="1:12" x14ac:dyDescent="0.25">
      <c r="A338" t="s">
        <v>44</v>
      </c>
      <c r="B338">
        <v>31</v>
      </c>
      <c r="C338" s="1">
        <v>41391</v>
      </c>
      <c r="D338" s="2">
        <v>0.64583333333333337</v>
      </c>
      <c r="E338" t="s">
        <v>4</v>
      </c>
      <c r="F338" t="s">
        <v>14</v>
      </c>
      <c r="G338">
        <v>1</v>
      </c>
      <c r="H338">
        <v>0</v>
      </c>
      <c r="I338">
        <f t="shared" si="15"/>
        <v>1</v>
      </c>
      <c r="J338">
        <v>1</v>
      </c>
      <c r="K338">
        <f t="shared" si="16"/>
        <v>1</v>
      </c>
      <c r="L338">
        <f t="shared" si="17"/>
        <v>0</v>
      </c>
    </row>
    <row r="339" spans="1:12" x14ac:dyDescent="0.25">
      <c r="A339" t="s">
        <v>44</v>
      </c>
      <c r="B339">
        <v>32</v>
      </c>
      <c r="C339" s="1">
        <v>41398</v>
      </c>
      <c r="D339" s="2">
        <v>0.77083333333333337</v>
      </c>
      <c r="E339" t="s">
        <v>2</v>
      </c>
      <c r="F339" t="s">
        <v>17</v>
      </c>
      <c r="G339">
        <v>1</v>
      </c>
      <c r="H339">
        <v>1</v>
      </c>
      <c r="I339">
        <f t="shared" si="15"/>
        <v>0</v>
      </c>
      <c r="J339">
        <v>1</v>
      </c>
      <c r="K339">
        <f t="shared" si="16"/>
        <v>1</v>
      </c>
      <c r="L339">
        <f t="shared" si="17"/>
        <v>0</v>
      </c>
    </row>
    <row r="340" spans="1:12" x14ac:dyDescent="0.25">
      <c r="A340" t="s">
        <v>44</v>
      </c>
      <c r="B340">
        <v>33</v>
      </c>
      <c r="C340" s="1">
        <v>41405</v>
      </c>
      <c r="D340" s="2">
        <v>0.64583333333333337</v>
      </c>
      <c r="E340" t="s">
        <v>4</v>
      </c>
      <c r="F340" t="s">
        <v>15</v>
      </c>
      <c r="G340">
        <v>3</v>
      </c>
      <c r="H340">
        <v>0</v>
      </c>
      <c r="I340">
        <f t="shared" si="15"/>
        <v>1</v>
      </c>
      <c r="J340">
        <v>1</v>
      </c>
      <c r="K340">
        <f t="shared" si="16"/>
        <v>1</v>
      </c>
      <c r="L340">
        <f t="shared" si="17"/>
        <v>0</v>
      </c>
    </row>
    <row r="341" spans="1:12" x14ac:dyDescent="0.25">
      <c r="A341" t="s">
        <v>44</v>
      </c>
      <c r="B341">
        <v>34</v>
      </c>
      <c r="C341" s="1">
        <v>41412</v>
      </c>
      <c r="D341" s="2">
        <v>0.64583333333333337</v>
      </c>
      <c r="E341" t="s">
        <v>2</v>
      </c>
      <c r="F341" t="s">
        <v>3</v>
      </c>
      <c r="G341">
        <v>4</v>
      </c>
      <c r="H341">
        <v>3</v>
      </c>
      <c r="I341">
        <f t="shared" si="15"/>
        <v>1</v>
      </c>
      <c r="J341">
        <v>1</v>
      </c>
      <c r="K341">
        <f t="shared" si="16"/>
        <v>1</v>
      </c>
      <c r="L341">
        <f t="shared" si="17"/>
        <v>0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Teubner, Timm (IISM)</dc:creator>
  <cp:lastModifiedBy>TU-Pseudonym 7208782268642408</cp:lastModifiedBy>
  <dcterms:created xsi:type="dcterms:W3CDTF">2022-05-16T07:45:04Z</dcterms:created>
  <dcterms:modified xsi:type="dcterms:W3CDTF">2023-12-08T13:34:43Z</dcterms:modified>
</cp:coreProperties>
</file>
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<sst xmlns="http://schemas.openxmlformats.org/spreadsheetml/2006/main" count="32" uniqueCount="30">
  <si>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Exercise 2: Cronbach’s Alpha (Part a)</t>
  </si>
  <si>
    <t xml:space="preserve">Cronbach's Alpha</t>
  </si>
  <si>
    <t xml:space="preserve">Standardized Cronbach's Alpha</t>
  </si>
  <si>
    <t xml:space="preserve">K= Anzahl der Items</t>
  </si>
  <si>
    <t xml:space="preserve">c = avg Kovarianz zw. Items</t>
  </si>
  <si>
    <t xml:space="preserve">v = avg. Variance of items</t>
  </si>
  <si>
    <t xml:space="preserve">r = avg. Correlation of items</t>
  </si>
  <si>
    <t xml:space="preserve">Berechnung der Werte für die Formel</t>
  </si>
  <si>
    <t xml:space="preserve">Berechnung der Varianzen (für die spätere Berechnung der Durchschnitt sowie der Kovarianzen)</t>
  </si>
  <si>
    <t xml:space="preserve">(Kopierter Survey)</t>
  </si>
  <si>
    <t xml:space="preserve">Item 1</t>
  </si>
  <si>
    <t xml:space="preserve">item 2</t>
  </si>
  <si>
    <t xml:space="preserve">item 3 </t>
  </si>
  <si>
    <t xml:space="preserve">item 4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</si>
  <si>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</si>
  <si>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</si>
  <si>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</si>
  <si>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</si>
  <si>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</si>
  <si>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Varianz je Item</t>
  </si>
  <si>
    <t xml:space="preserve">Berechnung der Kovarianzen auf Basis der Varianzen</t>
  </si>
  <si>
    <t xml:space="preserve">(Items)</t>
  </si>
  <si>
    <t xml:space="preserve">(Covariance)</t>
  </si>
  <si>
    <t xml:space="preserve">(Correlation)</t>
  </si>
  <si>
    <t xml:space="preserve">1_2</t>
  </si>
  <si>
    <t xml:space="preserve">1_3</t>
  </si>
  <si>
    <t xml:space="preserve">1_4</t>
  </si>
  <si>
    <t xml:space="preserve">2_3</t>
  </si>
  <si>
    <t xml:space="preserve">2_4</t>
  </si>
  <si>
    <t xml:space="preserve">3_4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</si>
</sst>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0" tint="-0.05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8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404640</xdr:colOff>
      <xdr:row>2</xdr:row>
      <xdr:rowOff>146880</xdr:rowOff>
    </xdr:from>
    <xdr:to>
      <xdr:col>13</xdr:col>
      <xdr:colOff>260280</xdr:colOff>
      <xdr:row>3</xdr:row>
      <xdr:rowOff>185400</xdr:rowOff>
    </xdr:to>
    <xdr:sp>
      <xdr:nvSpPr>
        <xdr:cNvPr id="0" name="TextBox 2"/>
        <xdr:cNvSpPr/>
      </xdr:nvSpPr>
      <xdr:spPr>
        <a:xfrm>
          <a:off x="8230320" y="557640"/>
          <a:ext cx="2499120" cy="228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chemeClr val="dk1"/>
              </a:solidFill>
              <a:latin typeface="Cambria Math"/>
            </a:rPr>
            <a:t>(</a:t>
          </a:r>
          <a:r>
            <a:rPr b="0" lang="de-DE" sz="1800" spc="-1" strike="noStrike">
              <a:solidFill>
                <a:schemeClr val="dk1"/>
              </a:solidFill>
              <a:latin typeface="Cambria Math"/>
            </a:rPr>
            <a:t>𝐾∗𝑐</a:t>
          </a:r>
          <a:r>
            <a:rPr b="0" lang="en-US" sz="1800" spc="-1" strike="noStrike">
              <a:solidFill>
                <a:schemeClr val="dk1"/>
              </a:solidFill>
              <a:latin typeface="Cambria Math"/>
            </a:rPr>
            <a:t>)/[</a:t>
          </a:r>
          <a:r>
            <a:rPr b="0" lang="de-DE" sz="1800" spc="-1" strike="noStrike">
              <a:solidFill>
                <a:schemeClr val="dk1"/>
              </a:solidFill>
              <a:latin typeface="Cambria Math"/>
            </a:rPr>
            <a:t>𝑣+(𝐾−1)∗𝑐] </a:t>
          </a:r>
          <a:endParaRPr b="0" lang="de-DE" sz="1800" spc="-1" strike="noStrike">
            <a:latin typeface="Calibri"/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18000</xdr:rowOff>
    </xdr:from>
    <xdr:to>
      <xdr:col>9</xdr:col>
      <xdr:colOff>280440</xdr:colOff>
      <xdr:row>12</xdr:row>
      <xdr:rowOff>55440</xdr:rowOff>
    </xdr:to>
    <xdr:pic>
      <xdr:nvPicPr>
        <xdr:cNvPr id="1" name="Grafik 2" descr="Table&#10;&#10;Description automatically generated with low confidence"/>
        <xdr:cNvPicPr/>
      </xdr:nvPicPr>
      <xdr:blipFill>
        <a:blip r:embed="rId1"/>
        <a:stretch/>
      </xdr:blipFill>
      <xdr:spPr>
        <a:xfrm>
          <a:off x="270000" y="619200"/>
          <a:ext cx="7037280" cy="175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689760</xdr:colOff>
      <xdr:row>2</xdr:row>
      <xdr:rowOff>172080</xdr:rowOff>
    </xdr:from>
    <xdr:to>
      <xdr:col>15</xdr:col>
      <xdr:colOff>764640</xdr:colOff>
      <xdr:row>4</xdr:row>
      <xdr:rowOff>19800</xdr:rowOff>
    </xdr:to>
    <xdr:sp>
      <xdr:nvSpPr>
        <xdr:cNvPr id="2" name="TextBox 2"/>
        <xdr:cNvSpPr/>
      </xdr:nvSpPr>
      <xdr:spPr>
        <a:xfrm>
          <a:off x="10125360" y="582840"/>
          <a:ext cx="2471400" cy="228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chemeClr val="dk1"/>
              </a:solidFill>
              <a:latin typeface="Cambria Math"/>
            </a:rPr>
            <a:t>(</a:t>
          </a:r>
          <a:r>
            <a:rPr b="0" lang="de-DE" sz="1800" spc="-1" strike="noStrike">
              <a:solidFill>
                <a:schemeClr val="dk1"/>
              </a:solidFill>
              <a:latin typeface="Cambria Math"/>
            </a:rPr>
            <a:t>𝐾∗𝑟</a:t>
          </a:r>
          <a:r>
            <a:rPr b="0" lang="en-US" sz="1800" spc="-1" strike="noStrike">
              <a:solidFill>
                <a:schemeClr val="dk1"/>
              </a:solidFill>
              <a:latin typeface="Cambria Math"/>
            </a:rPr>
            <a:t>)/[</a:t>
          </a:r>
          <a:r>
            <a:rPr b="0" lang="de-DE" sz="1800" spc="-1" strike="noStrike">
              <a:solidFill>
                <a:schemeClr val="dk1"/>
              </a:solidFill>
              <a:latin typeface="Cambria Math"/>
            </a:rPr>
            <a:t>1+(𝐾−1)∗𝑟] </a:t>
          </a:r>
          <a:endParaRPr b="0" lang="de-DE" sz="1800" spc="-1" strike="noStrike"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3.83"/>
    <col collapsed="false" customWidth="true" hidden="false" outlineLevel="0" max="2" min="2" style="0" width="15.51"/>
    <col collapsed="false" customWidth="true" hidden="false" outlineLevel="0" max="11" min="9" style="0" width="11.33"/>
    <col collapsed="false" customWidth="true" hidden="false" outlineLevel="0" max="13" min="13" style="0" width="14.67"/>
    <col collapsed="false" customWidth="true" hidden="false" outlineLevel="0" max="15" min="15" style="0" width="7.83"/>
    <col collapsed="false" customWidth="true" hidden="false" outlineLevel="0" max="16" min="16" style="0" width="18.5"/>
  </cols>
  <sheetData>
    <row r="2" customFormat="false" ht="17.35" hidden="false" customHeight="false" outlineLevel="0" collapsed="false">
      <c r="B2" s="1" t="s">
        <v>0</v>
      </c>
      <c r="L2" s="2" t="s">
        <v>1</v>
      </c>
      <c r="N2" s="2" t="s">
        <v>2</v>
      </c>
    </row>
    <row r="8" customFormat="false" ht="15" hidden="false" customHeight="false" outlineLevel="0" collapsed="false">
      <c r="L8" s="0" t="s">
        <v>3</v>
      </c>
      <c r="N8" s="3" t="n">
        <v>4</v>
      </c>
    </row>
    <row r="9" customFormat="false" ht="15" hidden="false" customHeight="false" outlineLevel="0" collapsed="false">
      <c r="L9" s="0" t="s">
        <v>4</v>
      </c>
      <c r="N9" s="3" t="n">
        <f aca="false">AVERAGE(C30:C35)</f>
        <v>0.313333333333333</v>
      </c>
    </row>
    <row r="10" customFormat="false" ht="15" hidden="false" customHeight="false" outlineLevel="0" collapsed="false">
      <c r="L10" s="0" t="s">
        <v>5</v>
      </c>
      <c r="N10" s="3" t="n">
        <f aca="false">AVERAGE(C26:F26)</f>
        <v>0.8</v>
      </c>
    </row>
    <row r="11" customFormat="false" ht="15" hidden="false" customHeight="false" outlineLevel="0" collapsed="false">
      <c r="L11" s="0" t="s">
        <v>6</v>
      </c>
      <c r="N11" s="4" t="n">
        <f aca="false">AVERAGE(D30:D35)</f>
        <v>0.327894069116505</v>
      </c>
    </row>
    <row r="12" customFormat="false" ht="15" hidden="false" customHeight="false" outlineLevel="0" collapsed="false">
      <c r="N12" s="3"/>
    </row>
    <row r="13" customFormat="false" ht="15" hidden="false" customHeight="false" outlineLevel="0" collapsed="false">
      <c r="L13" s="2" t="s">
        <v>1</v>
      </c>
      <c r="N13" s="5" t="n">
        <f aca="false">(N8*N9)/(N10+(N8-1)*N9)</f>
        <v>0.720306513409962</v>
      </c>
    </row>
    <row r="14" customFormat="false" ht="15" hidden="false" customHeight="false" outlineLevel="0" collapsed="false">
      <c r="L14" s="2" t="s">
        <v>2</v>
      </c>
      <c r="N14" s="5" t="n">
        <f aca="false">(N8*N11)/(1+(N8-1)*N11)</f>
        <v>0.661182658999838</v>
      </c>
    </row>
    <row r="15" customFormat="false" ht="15" hidden="false" customHeight="false" outlineLevel="0" collapsed="false">
      <c r="T15" s="6"/>
    </row>
    <row r="16" customFormat="false" ht="15" hidden="false" customHeight="false" outlineLevel="0" collapsed="false">
      <c r="B16" s="2" t="s">
        <v>7</v>
      </c>
      <c r="T16" s="6"/>
    </row>
    <row r="17" customFormat="false" ht="15" hidden="false" customHeight="false" outlineLevel="0" collapsed="false">
      <c r="B17" s="2"/>
      <c r="T17" s="6"/>
    </row>
    <row r="18" customFormat="false" ht="15" hidden="false" customHeight="false" outlineLevel="0" collapsed="false">
      <c r="B18" s="2" t="s">
        <v>8</v>
      </c>
      <c r="T18" s="6"/>
    </row>
    <row r="19" customFormat="false" ht="15" hidden="false" customHeight="false" outlineLevel="0" collapsed="false">
      <c r="B19" s="7" t="s">
        <v>9</v>
      </c>
      <c r="C19" s="8" t="s">
        <v>10</v>
      </c>
      <c r="D19" s="8" t="s">
        <v>11</v>
      </c>
      <c r="E19" s="8" t="s">
        <v>12</v>
      </c>
      <c r="F19" s="8" t="s">
        <v>13</v>
      </c>
      <c r="T19" s="6"/>
    </row>
    <row r="20" customFormat="false" ht="15" hidden="false" customHeight="false" outlineLevel="0" collapsed="false">
      <c r="B20" s="0" t="s">
        <v>14</v>
      </c>
      <c r="C20" s="0" t="n">
        <v>1</v>
      </c>
      <c r="D20" s="0" t="n">
        <v>5</v>
      </c>
      <c r="E20" s="0" t="n">
        <v>4</v>
      </c>
      <c r="F20" s="0" t="n">
        <v>3</v>
      </c>
    </row>
    <row r="21" customFormat="false" ht="15" hidden="false" customHeight="false" outlineLevel="0" collapsed="false">
      <c r="B21" s="0" t="s">
        <v>15</v>
      </c>
      <c r="C21" s="0" t="n">
        <v>2</v>
      </c>
      <c r="D21" s="0" t="n">
        <v>4</v>
      </c>
      <c r="E21" s="0" t="n">
        <v>3</v>
      </c>
      <c r="F21" s="0" t="n">
        <v>4</v>
      </c>
    </row>
    <row r="22" customFormat="false" ht="15" hidden="false" customHeight="false" outlineLevel="0" collapsed="false">
      <c r="B22" s="0" t="s">
        <v>16</v>
      </c>
      <c r="C22" s="0" t="n">
        <v>2</v>
      </c>
      <c r="D22" s="0" t="n">
        <v>2</v>
      </c>
      <c r="E22" s="0" t="n">
        <v>2</v>
      </c>
      <c r="F22" s="0" t="n">
        <v>2</v>
      </c>
    </row>
    <row r="23" customFormat="false" ht="15" hidden="false" customHeight="false" outlineLevel="0" collapsed="false">
      <c r="B23" s="0" t="s">
        <v>17</v>
      </c>
      <c r="C23" s="0" t="n">
        <v>3</v>
      </c>
      <c r="D23" s="0" t="n">
        <v>4</v>
      </c>
      <c r="E23" s="0" t="n">
        <v>4</v>
      </c>
      <c r="F23" s="0" t="n">
        <v>3</v>
      </c>
    </row>
    <row r="24" customFormat="false" ht="15" hidden="false" customHeight="false" outlineLevel="0" collapsed="false">
      <c r="B24" s="0" t="s">
        <v>18</v>
      </c>
      <c r="C24" s="0" t="n">
        <v>2</v>
      </c>
      <c r="D24" s="0" t="n">
        <v>5</v>
      </c>
      <c r="E24" s="0" t="n">
        <v>5</v>
      </c>
      <c r="F24" s="0" t="n">
        <v>4</v>
      </c>
    </row>
    <row r="26" customFormat="false" ht="15" hidden="false" customHeight="false" outlineLevel="0" collapsed="false">
      <c r="B26" s="2" t="s">
        <v>19</v>
      </c>
      <c r="C26" s="5" t="n">
        <f aca="false">_xlfn.VAR.P(C20:C24)</f>
        <v>0.4</v>
      </c>
      <c r="D26" s="5" t="n">
        <f aca="false">_xlfn.VAR.P(D20:D24)</f>
        <v>1.2</v>
      </c>
      <c r="E26" s="5" t="n">
        <f aca="false">_xlfn.VAR.P(E20:E24)</f>
        <v>1.04</v>
      </c>
      <c r="F26" s="5" t="n">
        <f aca="false">_xlfn.VAR.P(F20:F24)</f>
        <v>0.56</v>
      </c>
    </row>
    <row r="27" customFormat="false" ht="15" hidden="false" customHeight="false" outlineLevel="0" collapsed="false">
      <c r="U27" s="9"/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7" t="s">
        <v>21</v>
      </c>
      <c r="C29" s="8" t="s">
        <v>22</v>
      </c>
      <c r="D29" s="8" t="s">
        <v>23</v>
      </c>
    </row>
    <row r="30" customFormat="false" ht="15" hidden="false" customHeight="false" outlineLevel="0" collapsed="false">
      <c r="B30" s="0" t="s">
        <v>24</v>
      </c>
      <c r="C30" s="3" t="n">
        <f aca="false">_xlfn.COVARIANCE.P($C$20:$C$24,$D$20:$D$24)</f>
        <v>-0.2</v>
      </c>
      <c r="D30" s="4" t="n">
        <f aca="false">CORREL($C$20:$C$24,$D$20:$D$24)</f>
        <v>-0.288675134594813</v>
      </c>
    </row>
    <row r="31" customFormat="false" ht="15" hidden="false" customHeight="false" outlineLevel="0" collapsed="false">
      <c r="B31" s="0" t="s">
        <v>25</v>
      </c>
      <c r="C31" s="3" t="n">
        <f aca="false">_xlfn.COVARIANCE.P($C$20:$C$24,$E$20:$E$24)</f>
        <v>0</v>
      </c>
      <c r="D31" s="4" t="n">
        <f aca="false">CORREL($C$20:$C$24,$E$20:$E$24)</f>
        <v>0</v>
      </c>
    </row>
    <row r="32" customFormat="false" ht="15" hidden="false" customHeight="false" outlineLevel="0" collapsed="false">
      <c r="B32" s="0" t="s">
        <v>26</v>
      </c>
      <c r="C32" s="3" t="n">
        <f aca="false">_xlfn.COVARIANCE.P($C$20:$C$24,$F$20:$F$24)</f>
        <v>0</v>
      </c>
      <c r="D32" s="4" t="n">
        <f aca="false">CORREL($C$20:$C$24,$F$20:$F$24)</f>
        <v>0</v>
      </c>
    </row>
    <row r="33" customFormat="false" ht="15" hidden="false" customHeight="false" outlineLevel="0" collapsed="false">
      <c r="B33" s="0" t="s">
        <v>27</v>
      </c>
      <c r="C33" s="3" t="n">
        <f aca="false">_xlfn.COVARIANCE.P($D$20:$D$24,$E$20:$E$24)</f>
        <v>1</v>
      </c>
      <c r="D33" s="4" t="n">
        <f aca="false">CORREL($D$20:$D$24,$E$20:$E$24)</f>
        <v>0.895143592549291</v>
      </c>
    </row>
    <row r="34" customFormat="false" ht="15" hidden="false" customHeight="false" outlineLevel="0" collapsed="false">
      <c r="B34" s="0" t="s">
        <v>28</v>
      </c>
      <c r="C34" s="3" t="n">
        <f aca="false">_xlfn.COVARIANCE.P($D$20:$D$24,$F$20:$F$24)</f>
        <v>0.6</v>
      </c>
      <c r="D34" s="4" t="n">
        <f aca="false">CORREL($D$20:$D$24,$F$20:$F$24)</f>
        <v>0.7319250547114</v>
      </c>
    </row>
    <row r="35" customFormat="false" ht="15" hidden="false" customHeight="false" outlineLevel="0" collapsed="false">
      <c r="B35" s="0" t="s">
        <v>29</v>
      </c>
      <c r="C35" s="3" t="n">
        <f aca="false">_xlfn.COVARIANCE.P($E$20:$E$24,$F$20:$F$24)</f>
        <v>0.48</v>
      </c>
      <c r="D35" s="4" t="n">
        <f aca="false">CORREL($E$20:$E$24,$F$20:$F$24)</f>
        <v>0.628970902033151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2021-05-20T13:31:54Z</dcterms:created>
  <dc:creator>Teubner, Timm (IISM)</dc:creator>
  <dc:description/>
  <dc:language>de-DE</dc:language>
  <cp:lastModifiedBy/>
  <dcterms:modified xsi:type="dcterms:W3CDTF">2026-04-29T20:32:30Z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
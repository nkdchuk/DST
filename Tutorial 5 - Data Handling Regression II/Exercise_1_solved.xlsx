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13_ncr:1_{EA025627-3206-4CF7-A087-B85766B87CFD}" xr6:coauthVersionLast="47" xr6:coauthVersionMax="47" xr10:uidLastSave="{00000000-0000-0000-0000-000000000000}"/>
  <bookViews>
    <workbookView xWindow="1815" yWindow="1815" windowWidth="28800" windowHeight="15345" xr2:uid="{8B592C77-1F63-4FAF-85F0-D8A28175CBA4}"/>
  </bookViews>
  <sheets>
    <sheet name="Sheet1" sheetId="1" r:id="rId1"/>
  </sheets>
  <definedNames>
    <definedName name="solver_adj" localSheetId="0" hidden="1">Sheet1!$M$4:$M$5</definedName>
    <definedName name="solver_cvg" localSheetId="0" hidden="1">"""""""0,0001"""""""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"""""""0,075"""""""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Sheet1!$F$8</definedName>
    <definedName name="solver_pre" localSheetId="0" hidden="1">"""""""0,000001"""""""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C8" i="1"/>
  <c r="F6" i="1"/>
  <c r="F5" i="1"/>
  <c r="H5" i="1" l="1"/>
  <c r="H4" i="1"/>
  <c r="H6" i="1"/>
  <c r="J4" i="1"/>
  <c r="G4" i="1"/>
  <c r="G6" i="1"/>
  <c r="J6" i="1"/>
  <c r="G5" i="1"/>
  <c r="J5" i="1"/>
  <c r="I4" i="1"/>
  <c r="I5" i="1"/>
  <c r="I6" i="1"/>
  <c r="F8" i="1"/>
  <c r="C11" i="1" l="1"/>
  <c r="C13" i="1"/>
  <c r="C12" i="1"/>
  <c r="C15" i="1" l="1"/>
</calcChain>
</file>

<file path=xl/sharedStrings.xml><?xml version="1.0" encoding="utf-8"?>
<sst xmlns="http://schemas.openxmlformats.org/spreadsheetml/2006/main" count="17" uniqueCount="17">
  <si>
    <t>Points</t>
  </si>
  <si>
    <t>x</t>
  </si>
  <si>
    <t>y</t>
  </si>
  <si>
    <t>a=</t>
  </si>
  <si>
    <t>b=</t>
  </si>
  <si>
    <t>f(x)</t>
  </si>
  <si>
    <t>Error</t>
  </si>
  <si>
    <t>TSS</t>
  </si>
  <si>
    <t>ESS</t>
  </si>
  <si>
    <t>RSS</t>
  </si>
  <si>
    <t>R^2</t>
  </si>
  <si>
    <t>Parameters</t>
  </si>
  <si>
    <t>Mean</t>
  </si>
  <si>
    <t>TS</t>
  </si>
  <si>
    <t>ES</t>
  </si>
  <si>
    <t>RS</t>
  </si>
  <si>
    <t>Total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</si>
</sst>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261870109838167"/>
                  <c:y val="-4.75517060367454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Sheet1!$B$4:$B$6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8</c:v>
                </c:pt>
              </c:numCache>
            </c:numRef>
          </c:xVal>
          <c:yVal>
            <c:numRef>
              <c:f>Sheet1!$C$4:$C$6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69-4548-87EB-992E76F94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4619935"/>
        <c:axId val="1144620351"/>
      </c:scatterChart>
      <c:valAx>
        <c:axId val="1144619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44620351"/>
        <c:crosses val="autoZero"/>
        <c:crossBetween val="midCat"/>
      </c:valAx>
      <c:valAx>
        <c:axId val="114462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44619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88900</xdr:colOff>
      <xdr:row>10</xdr:row>
      <xdr:rowOff>20320</xdr:rowOff>
    </xdr:from>
    <xdr:to>
      <xdr:col>11</xdr:col>
      <xdr:colOff>431800</xdr:colOff>
      <xdr:row>25</xdr:row>
      <xdr:rowOff>20320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BA3077-D6E5-04FE-19CE-5772F5AE07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C79E2-B6D5-4436-BA58-4DD6D481087A}">
  <dimension ref="B2:M15"/>
  <sheetViews>
    <sheetView tabSelected="1" workbookViewId="0">
      <selection activeCell="M4" sqref="M4"/>
    </sheetView>
  </sheetViews>
  <sheetFormatPr defaultColWidth="8.85546875" defaultRowHeight="15" x14ac:dyDescent="0.25"/>
  <cols>
    <col min="4" max="4" width="1.7109375" customWidth="1"/>
    <col min="5" max="5" width="9.140625" bestFit="1" customWidth="1"/>
    <col min="11" max="11" width="1.7109375" customWidth="1"/>
  </cols>
  <sheetData>
    <row r="2" spans="2:13" x14ac:dyDescent="0.25">
      <c r="B2" s="5" t="s">
        <v>0</v>
      </c>
      <c r="C2" s="5"/>
      <c r="D2" s="3"/>
    </row>
    <row r="3" spans="2:13" x14ac:dyDescent="0.25">
      <c r="B3" s="4" t="s">
        <v>1</v>
      </c>
      <c r="C3" s="4" t="s">
        <v>2</v>
      </c>
      <c r="D3" s="4"/>
      <c r="E3" s="2"/>
      <c r="F3" s="2" t="s">
        <v>5</v>
      </c>
      <c r="G3" s="2" t="s">
        <v>6</v>
      </c>
      <c r="H3" s="2" t="s">
        <v>13</v>
      </c>
      <c r="I3" s="2" t="s">
        <v>14</v>
      </c>
      <c r="J3" s="2" t="s">
        <v>15</v>
      </c>
      <c r="L3" t="s">
        <v>11</v>
      </c>
    </row>
    <row r="4" spans="2:13" x14ac:dyDescent="0.25">
      <c r="B4">
        <v>2</v>
      </c>
      <c r="C4">
        <v>2</v>
      </c>
      <c r="F4">
        <f>$M$4+B4*$M$5</f>
        <v>2.7258060781033424</v>
      </c>
      <c r="G4">
        <f>(F4-C4)^2</f>
        <v>0.52679446301175514</v>
      </c>
      <c r="H4">
        <f>(C4-$C$8)^2</f>
        <v>2.7777777777777772</v>
      </c>
      <c r="I4">
        <f>(F4-$C$8)^2</f>
        <v>0.8852186471117246</v>
      </c>
      <c r="J4" s="1">
        <f>(F4-C4)^2</f>
        <v>0.52679446301175514</v>
      </c>
      <c r="L4" t="s">
        <v>3</v>
      </c>
      <c r="M4">
        <v>1.9193547382903293</v>
      </c>
    </row>
    <row r="5" spans="2:13" x14ac:dyDescent="0.25">
      <c r="B5">
        <v>3</v>
      </c>
      <c r="C5">
        <v>4</v>
      </c>
      <c r="F5">
        <f>$M$4+B5*$M$5</f>
        <v>3.1290317480098491</v>
      </c>
      <c r="G5">
        <f t="shared" ref="G5:G6" si="0">(F5-C5)^2</f>
        <v>0.7585856959747791</v>
      </c>
      <c r="H5">
        <f>(C5-$C$8)^2</f>
        <v>0.11111111111111122</v>
      </c>
      <c r="I5">
        <f>(F5-$C$8)^2</f>
        <v>0.28905130575912269</v>
      </c>
      <c r="J5" s="1">
        <f>(F5-C5)^2</f>
        <v>0.7585856959747791</v>
      </c>
      <c r="L5" t="s">
        <v>4</v>
      </c>
      <c r="M5">
        <v>0.40322566990650649</v>
      </c>
    </row>
    <row r="6" spans="2:13" x14ac:dyDescent="0.25">
      <c r="B6">
        <v>8</v>
      </c>
      <c r="C6">
        <v>5</v>
      </c>
      <c r="F6">
        <f>$M$4+B6*$M$5</f>
        <v>5.145160097542381</v>
      </c>
      <c r="G6">
        <f t="shared" si="0"/>
        <v>2.1071453918513571E-2</v>
      </c>
      <c r="H6">
        <f>(C6-$C$8)^2</f>
        <v>1.7777777777777781</v>
      </c>
      <c r="I6">
        <f>(F6-$C$8)^2</f>
        <v>2.1859428251426412</v>
      </c>
      <c r="J6" s="1">
        <f>(F6-C6)^2</f>
        <v>2.1071453918513571E-2</v>
      </c>
    </row>
    <row r="7" spans="2:13" ht="9.9499999999999993" customHeight="1" x14ac:dyDescent="0.25"/>
    <row r="8" spans="2:13" x14ac:dyDescent="0.25">
      <c r="B8" t="s">
        <v>12</v>
      </c>
      <c r="C8">
        <f>AVERAGE(C4:C6)</f>
        <v>3.6666666666666665</v>
      </c>
      <c r="E8" t="s">
        <v>16</v>
      </c>
      <c r="F8">
        <f>SUM(G4:G6)</f>
        <v>1.3064516129050476</v>
      </c>
    </row>
    <row r="11" spans="2:13" x14ac:dyDescent="0.25">
      <c r="B11" s="2" t="s">
        <v>7</v>
      </c>
      <c r="C11">
        <f>SUM(H4:H6)</f>
        <v>4.6666666666666661</v>
      </c>
    </row>
    <row r="12" spans="2:13" x14ac:dyDescent="0.25">
      <c r="B12" s="2" t="s">
        <v>8</v>
      </c>
      <c r="C12">
        <f>SUM(I4:I6)</f>
        <v>3.3602127780134885</v>
      </c>
    </row>
    <row r="13" spans="2:13" x14ac:dyDescent="0.25">
      <c r="B13" s="2" t="s">
        <v>9</v>
      </c>
      <c r="C13">
        <f>SUM(J4:J6)</f>
        <v>1.3064516129050476</v>
      </c>
    </row>
    <row r="14" spans="2:13" x14ac:dyDescent="0.25">
      <c r="B14" s="2"/>
    </row>
    <row r="15" spans="2:13" x14ac:dyDescent="0.25">
      <c r="B15" s="2" t="s">
        <v>10</v>
      </c>
      <c r="C15">
        <f>C12/C11</f>
        <v>0.72004559528860479</v>
      </c>
    </row>
  </sheetData>
  <mergeCells count="1">
    <mergeCell ref="B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Daniel Kral</cp:lastModifiedBy>
  <dcterms:created xsi:type="dcterms:W3CDTF">2022-12-15T11:48:16Z</dcterms:created>
  <dcterms:modified xsi:type="dcterms:W3CDTF">2026-06-07T19:12:14Z</dcterms:modified>
</cp:coreProperties>
</file>
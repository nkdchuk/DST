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wnloads\"/>
    </mc:Choice>
  </mc:AlternateContent>
  <xr:revisionPtr revIDLastSave="0" documentId="13_ncr:1_{1818FE77-075E-48F5-8CE2-2069E893F117}" xr6:coauthVersionLast="47" xr6:coauthVersionMax="47" xr10:uidLastSave="{00000000-0000-0000-0000-000000000000}"/>
  <bookViews>
    <workbookView xWindow="1522" yWindow="0" windowWidth="21061" windowHeight="14280" activeTab="1" xr2:uid="{9D8BBAB7-17E2-F746-8450-C8F8F95A8C03}"/>
  </bookViews>
  <sheets>
    <sheet name="Log Transformation" sheetId="2" r:id="rId1"/>
    <sheet name="Solution Exampl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F13" i="1"/>
  <c r="F12" i="1"/>
  <c r="F11" i="1"/>
  <c r="F10" i="1"/>
  <c r="F9" i="1"/>
  <c r="F8" i="1"/>
  <c r="F7" i="1"/>
  <c r="F6" i="1"/>
  <c r="F5" i="1"/>
  <c r="F4" i="1"/>
  <c r="F3" i="1"/>
  <c r="E23" i="1"/>
  <c r="E22" i="1"/>
  <c r="E21" i="1"/>
  <c r="E18" i="1"/>
  <c r="E17" i="1"/>
  <c r="E16" i="1"/>
  <c r="E26" i="1" l="1"/>
  <c r="E28" i="1"/>
  <c r="E27" i="1"/>
  <c r="F17" i="1"/>
  <c r="F18" i="1"/>
  <c r="F16" i="1"/>
  <c r="E33" i="1" l="1"/>
  <c r="E32" i="1"/>
  <c r="E31" i="1"/>
</calcChain>
</file>

<file path=xl/sharedStrings.xml><?xml version="1.0" encoding="utf-8"?>
<sst xmlns="http://schemas.openxmlformats.org/spreadsheetml/2006/main" count="45" uniqueCount="20">
  <si>
    <t>Price (kEUR)</t>
  </si>
  <si>
    <t>Mean</t>
  </si>
  <si>
    <t>Median</t>
  </si>
  <si>
    <t>Skewness</t>
  </si>
  <si>
    <t>Apartment #</t>
  </si>
  <si>
    <t>Size (sqm)</t>
  </si>
  <si>
    <t>β (Slope)</t>
  </si>
  <si>
    <t>α (Intercept)</t>
  </si>
  <si>
    <t>R^2</t>
  </si>
  <si>
    <t>LogN Price (kEUR)</t>
  </si>
  <si>
    <t>% change per +1 sqm</t>
  </si>
  <si>
    <t>% change for +10 sqm</t>
  </si>
  <si>
    <t>% change for +20 sqm</t>
  </si>
  <si>
    <t>Model A: price_kEUR = α+ β*size_sqm</t>
  </si>
  <si>
    <t>Model B: logn_price_kEUR = α+ β*size_sqm</t>
  </si>
  <si>
    <t>Exercise a)</t>
  </si>
  <si>
    <t>Exercise b)</t>
  </si>
  <si>
    <t>Exercise c)</t>
  </si>
  <si>
    <t>Interpretation of β</t>
  </si>
  <si>
    <t>Exercise 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</si>
</sst>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name val="Calibri"/>
      <family val="2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10" fontId="0" fillId="0" borderId="0" xfId="1" applyNumberFormat="1" applyFont="1"/>
    <xf numFmtId="0" fontId="4" fillId="0" borderId="0" xfId="0" applyFont="1"/>
    <xf numFmtId="0" fontId="5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10" fontId="0" fillId="2" borderId="0" xfId="1" applyNumberFormat="1" applyFont="1" applyFill="1"/>
    <xf numFmtId="0" fontId="0" fillId="2" borderId="0" xfId="0" applyFill="1"/>
    <xf numFmtId="0" fontId="0" fillId="2" borderId="9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'Solution Example'!$E$2</c:f>
              <c:strCache>
                <c:ptCount val="1"/>
                <c:pt idx="0">
                  <c:v>Price (kEUR)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'Solution Example'!$D$3:$D$14</c:f>
              <c:numCache>
                <c:formatCode>General</c:formatCode>
                <c:ptCount val="12"/>
                <c:pt idx="0">
                  <c:v>40</c:v>
                </c:pt>
                <c:pt idx="1">
                  <c:v>55</c:v>
                </c:pt>
                <c:pt idx="2">
                  <c:v>60</c:v>
                </c:pt>
                <c:pt idx="3">
                  <c:v>70</c:v>
                </c:pt>
                <c:pt idx="4">
                  <c:v>80</c:v>
                </c:pt>
                <c:pt idx="5">
                  <c:v>90</c:v>
                </c:pt>
                <c:pt idx="6">
                  <c:v>100</c:v>
                </c:pt>
                <c:pt idx="7">
                  <c:v>120</c:v>
                </c:pt>
                <c:pt idx="8">
                  <c:v>140</c:v>
                </c:pt>
                <c:pt idx="9">
                  <c:v>160</c:v>
                </c:pt>
                <c:pt idx="10">
                  <c:v>180</c:v>
                </c:pt>
                <c:pt idx="11">
                  <c:v>220</c:v>
                </c:pt>
              </c:numCache>
            </c:numRef>
          </c:xVal>
          <c:yVal>
            <c:numRef>
              <c:f>'Solution Example'!$E$3:$E$14</c:f>
              <c:numCache>
                <c:formatCode>General</c:formatCode>
                <c:ptCount val="12"/>
                <c:pt idx="0">
                  <c:v>276.7</c:v>
                </c:pt>
                <c:pt idx="1">
                  <c:v>249.8</c:v>
                </c:pt>
                <c:pt idx="2">
                  <c:v>309.10000000000002</c:v>
                </c:pt>
                <c:pt idx="3">
                  <c:v>479.8</c:v>
                </c:pt>
                <c:pt idx="4">
                  <c:v>488.1</c:v>
                </c:pt>
                <c:pt idx="5">
                  <c:v>264.7</c:v>
                </c:pt>
                <c:pt idx="6">
                  <c:v>469.2</c:v>
                </c:pt>
                <c:pt idx="7">
                  <c:v>417.9</c:v>
                </c:pt>
                <c:pt idx="8">
                  <c:v>485.3</c:v>
                </c:pt>
                <c:pt idx="9">
                  <c:v>622.79999999999995</c:v>
                </c:pt>
                <c:pt idx="10">
                  <c:v>649</c:v>
                </c:pt>
                <c:pt idx="11">
                  <c:v>1658.8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19-490F-BEBC-ED6969FD32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6486656"/>
        <c:axId val="1846479936"/>
      </c:scatterChart>
      <c:valAx>
        <c:axId val="184648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46479936"/>
        <c:crosses val="autoZero"/>
        <c:crossBetween val="midCat"/>
      </c:valAx>
      <c:valAx>
        <c:axId val="184647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46486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'Solution Example'!$F$2</c:f>
              <c:strCache>
                <c:ptCount val="1"/>
                <c:pt idx="0">
                  <c:v>LogN Price (kEUR)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'Solution Example'!$D$3:$D$14</c:f>
              <c:numCache>
                <c:formatCode>General</c:formatCode>
                <c:ptCount val="12"/>
                <c:pt idx="0">
                  <c:v>40</c:v>
                </c:pt>
                <c:pt idx="1">
                  <c:v>55</c:v>
                </c:pt>
                <c:pt idx="2">
                  <c:v>60</c:v>
                </c:pt>
                <c:pt idx="3">
                  <c:v>70</c:v>
                </c:pt>
                <c:pt idx="4">
                  <c:v>80</c:v>
                </c:pt>
                <c:pt idx="5">
                  <c:v>90</c:v>
                </c:pt>
                <c:pt idx="6">
                  <c:v>100</c:v>
                </c:pt>
                <c:pt idx="7">
                  <c:v>120</c:v>
                </c:pt>
                <c:pt idx="8">
                  <c:v>140</c:v>
                </c:pt>
                <c:pt idx="9">
                  <c:v>160</c:v>
                </c:pt>
                <c:pt idx="10">
                  <c:v>180</c:v>
                </c:pt>
                <c:pt idx="11">
                  <c:v>220</c:v>
                </c:pt>
              </c:numCache>
            </c:numRef>
          </c:xVal>
          <c:yVal>
            <c:numRef>
              <c:f>'Solution Example'!$F$3:$F$14</c:f>
              <c:numCache>
                <c:formatCode>General</c:formatCode>
                <c:ptCount val="12"/>
                <c:pt idx="0">
                  <c:v>5.6229338867928798</c:v>
                </c:pt>
                <c:pt idx="1">
                  <c:v>5.5206605976914771</c:v>
                </c:pt>
                <c:pt idx="2">
                  <c:v>5.7336648491380711</c:v>
                </c:pt>
                <c:pt idx="3">
                  <c:v>6.1733693504055944</c:v>
                </c:pt>
                <c:pt idx="4">
                  <c:v>6.190520302893102</c:v>
                </c:pt>
                <c:pt idx="5">
                  <c:v>5.5785971092330557</c:v>
                </c:pt>
                <c:pt idx="6">
                  <c:v>6.1510291167793207</c:v>
                </c:pt>
                <c:pt idx="7">
                  <c:v>6.0352421694538698</c:v>
                </c:pt>
                <c:pt idx="8">
                  <c:v>6.1847672564111704</c:v>
                </c:pt>
                <c:pt idx="9">
                  <c:v>6.4342254399598433</c:v>
                </c:pt>
                <c:pt idx="10">
                  <c:v>6.4754327167040904</c:v>
                </c:pt>
                <c:pt idx="11">
                  <c:v>7.4138497283722264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8D-489C-8A80-95722842A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9697024"/>
        <c:axId val="1849693440"/>
      </c:scatterChart>
      <c:valAx>
        <c:axId val="1849697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49693440"/>
        <c:crosses val="autoZero"/>
        <c:crossBetween val="midCat"/>
      </c:valAx>
      <c:valAx>
        <c:axId val="184969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49697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'Solution Example'!$E$2</c:f>
              <c:strCache>
                <c:ptCount val="1"/>
                <c:pt idx="0">
                  <c:v>Price (kEUR)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'Solution Example'!$D$3:$D$14</c:f>
              <c:numCache>
                <c:formatCode>General</c:formatCode>
                <c:ptCount val="12"/>
                <c:pt idx="0">
                  <c:v>40</c:v>
                </c:pt>
                <c:pt idx="1">
                  <c:v>55</c:v>
                </c:pt>
                <c:pt idx="2">
                  <c:v>60</c:v>
                </c:pt>
                <c:pt idx="3">
                  <c:v>70</c:v>
                </c:pt>
                <c:pt idx="4">
                  <c:v>80</c:v>
                </c:pt>
                <c:pt idx="5">
                  <c:v>90</c:v>
                </c:pt>
                <c:pt idx="6">
                  <c:v>100</c:v>
                </c:pt>
                <c:pt idx="7">
                  <c:v>120</c:v>
                </c:pt>
                <c:pt idx="8">
                  <c:v>140</c:v>
                </c:pt>
                <c:pt idx="9">
                  <c:v>160</c:v>
                </c:pt>
                <c:pt idx="10">
                  <c:v>180</c:v>
                </c:pt>
                <c:pt idx="11">
                  <c:v>220</c:v>
                </c:pt>
              </c:numCache>
            </c:numRef>
          </c:xVal>
          <c:yVal>
            <c:numRef>
              <c:f>'Solution Example'!$E$3:$E$14</c:f>
              <c:numCache>
                <c:formatCode>General</c:formatCode>
                <c:ptCount val="12"/>
                <c:pt idx="0">
                  <c:v>276.7</c:v>
                </c:pt>
                <c:pt idx="1">
                  <c:v>249.8</c:v>
                </c:pt>
                <c:pt idx="2">
                  <c:v>309.10000000000002</c:v>
                </c:pt>
                <c:pt idx="3">
                  <c:v>479.8</c:v>
                </c:pt>
                <c:pt idx="4">
                  <c:v>488.1</c:v>
                </c:pt>
                <c:pt idx="5">
                  <c:v>264.7</c:v>
                </c:pt>
                <c:pt idx="6">
                  <c:v>469.2</c:v>
                </c:pt>
                <c:pt idx="7">
                  <c:v>417.9</c:v>
                </c:pt>
                <c:pt idx="8">
                  <c:v>485.3</c:v>
                </c:pt>
                <c:pt idx="9">
                  <c:v>622.79999999999995</c:v>
                </c:pt>
                <c:pt idx="10">
                  <c:v>649</c:v>
                </c:pt>
                <c:pt idx="11">
                  <c:v>1658.8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02-904F-9D9F-C8BB99535B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6486656"/>
        <c:axId val="1846479936"/>
      </c:scatterChart>
      <c:valAx>
        <c:axId val="184648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46479936"/>
        <c:crosses val="autoZero"/>
        <c:crossBetween val="midCat"/>
      </c:valAx>
      <c:valAx>
        <c:axId val="184647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46486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'Solution Example'!$F$2</c:f>
              <c:strCache>
                <c:ptCount val="1"/>
                <c:pt idx="0">
                  <c:v>LogN Price (kEUR)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'Solution Example'!$D$3:$D$14</c:f>
              <c:numCache>
                <c:formatCode>General</c:formatCode>
                <c:ptCount val="12"/>
                <c:pt idx="0">
                  <c:v>40</c:v>
                </c:pt>
                <c:pt idx="1">
                  <c:v>55</c:v>
                </c:pt>
                <c:pt idx="2">
                  <c:v>60</c:v>
                </c:pt>
                <c:pt idx="3">
                  <c:v>70</c:v>
                </c:pt>
                <c:pt idx="4">
                  <c:v>80</c:v>
                </c:pt>
                <c:pt idx="5">
                  <c:v>90</c:v>
                </c:pt>
                <c:pt idx="6">
                  <c:v>100</c:v>
                </c:pt>
                <c:pt idx="7">
                  <c:v>120</c:v>
                </c:pt>
                <c:pt idx="8">
                  <c:v>140</c:v>
                </c:pt>
                <c:pt idx="9">
                  <c:v>160</c:v>
                </c:pt>
                <c:pt idx="10">
                  <c:v>180</c:v>
                </c:pt>
                <c:pt idx="11">
                  <c:v>220</c:v>
                </c:pt>
              </c:numCache>
            </c:numRef>
          </c:xVal>
          <c:yVal>
            <c:numRef>
              <c:f>'Solution Example'!$F$3:$F$14</c:f>
              <c:numCache>
                <c:formatCode>General</c:formatCode>
                <c:ptCount val="12"/>
                <c:pt idx="0">
                  <c:v>5.6229338867928798</c:v>
                </c:pt>
                <c:pt idx="1">
                  <c:v>5.5206605976914771</c:v>
                </c:pt>
                <c:pt idx="2">
                  <c:v>5.7336648491380711</c:v>
                </c:pt>
                <c:pt idx="3">
                  <c:v>6.1733693504055944</c:v>
                </c:pt>
                <c:pt idx="4">
                  <c:v>6.190520302893102</c:v>
                </c:pt>
                <c:pt idx="5">
                  <c:v>5.5785971092330557</c:v>
                </c:pt>
                <c:pt idx="6">
                  <c:v>6.1510291167793207</c:v>
                </c:pt>
                <c:pt idx="7">
                  <c:v>6.0352421694538698</c:v>
                </c:pt>
                <c:pt idx="8">
                  <c:v>6.1847672564111704</c:v>
                </c:pt>
                <c:pt idx="9">
                  <c:v>6.4342254399598433</c:v>
                </c:pt>
                <c:pt idx="10">
                  <c:v>6.4754327167040904</c:v>
                </c:pt>
                <c:pt idx="11">
                  <c:v>7.4138497283722264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5A-D04F-997E-9A4A2AEE0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9697024"/>
        <c:axId val="1849693440"/>
      </c:scatterChart>
      <c:valAx>
        <c:axId val="1849697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49693440"/>
        <c:crosses val="autoZero"/>
        <c:crossBetween val="midCat"/>
      </c:valAx>
      <c:valAx>
        <c:axId val="184969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49697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396875</xdr:colOff>
      <xdr:row>15</xdr:row>
      <xdr:rowOff>134938</xdr:rowOff>
    </xdr:from>
    <xdr:to>
      <xdr:col>20</xdr:col>
      <xdr:colOff>691016</xdr:colOff>
      <xdr:row>28</xdr:row>
      <xdr:rowOff>209551</xdr:rowOff>
    </xdr:to>
    <xdr:graphicFrame macro="">
      <xdr:nvGraphicFramePr>
        <xdr:cNvPr id="3" name="Diagramm 1">
          <a:extLst>
            <a:ext uri="{FF2B5EF4-FFF2-40B4-BE49-F238E27FC236}">
              <a16:creationId xmlns:a16="http://schemas.microsoft.com/office/drawing/2014/main" id="{382FD792-46C9-4EAA-B690-964A342FFC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468312</xdr:colOff>
      <xdr:row>28</xdr:row>
      <xdr:rowOff>365125</xdr:rowOff>
    </xdr:from>
    <xdr:to>
      <xdr:col>20</xdr:col>
      <xdr:colOff>735239</xdr:colOff>
      <xdr:row>42</xdr:row>
      <xdr:rowOff>187324</xdr:rowOff>
    </xdr:to>
    <xdr:graphicFrame macro="">
      <xdr:nvGraphicFramePr>
        <xdr:cNvPr id="4" name="Diagramm 2">
          <a:extLst>
            <a:ext uri="{FF2B5EF4-FFF2-40B4-BE49-F238E27FC236}">
              <a16:creationId xmlns:a16="http://schemas.microsoft.com/office/drawing/2014/main" id="{D2C11F74-1989-44CA-9007-05B9148F9A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654050</xdr:colOff>
      <xdr:row>1</xdr:row>
      <xdr:rowOff>31750</xdr:rowOff>
    </xdr:from>
    <xdr:to>
      <xdr:col>16</xdr:col>
      <xdr:colOff>152400</xdr:colOff>
      <xdr:row>15</xdr:row>
      <xdr:rowOff>114300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D81C56C2-008E-2E4B-D495-09D22202C0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374650</xdr:colOff>
      <xdr:row>1</xdr:row>
      <xdr:rowOff>19050</xdr:rowOff>
    </xdr:from>
    <xdr:to>
      <xdr:col>24</xdr:col>
      <xdr:colOff>673100</xdr:colOff>
      <xdr:row>15</xdr:row>
      <xdr:rowOff>114300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449571EC-4E56-191F-B047-74AC0951B7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84365</xdr:colOff>
      <xdr:row>16</xdr:row>
      <xdr:rowOff>104774</xdr:rowOff>
    </xdr:from>
    <xdr:to>
      <xdr:col>9</xdr:col>
      <xdr:colOff>419780</xdr:colOff>
      <xdr:row>18</xdr:row>
      <xdr:rowOff>156482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E9E9739-4E9C-B1EB-869B-8ED25A8E9CB2}"/>
            </a:ext>
          </a:extLst>
        </xdr:cNvPr>
        <xdr:cNvSpPr txBox="1"/>
      </xdr:nvSpPr>
      <xdr:spPr>
        <a:xfrm>
          <a:off x="5908222" y="3139167"/>
          <a:ext cx="3206522" cy="4463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LN compresses large values, reduces right-skew/outlier impact, and often stabilizes variance</a:t>
          </a:r>
          <a:endParaRPr lang="de-DE" sz="1100"/>
        </a:p>
      </xdr:txBody>
    </xdr:sp>
    <xdr:clientData/>
  </xdr:twoCellAnchor>
  <xdr:twoCellAnchor>
    <xdr:from>
      <xdr:col>5</xdr:col>
      <xdr:colOff>935491</xdr:colOff>
      <xdr:row>21</xdr:row>
      <xdr:rowOff>85043</xdr:rowOff>
    </xdr:from>
    <xdr:to>
      <xdr:col>9</xdr:col>
      <xdr:colOff>74840</xdr:colOff>
      <xdr:row>26</xdr:row>
      <xdr:rowOff>170089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ACD8F7C-33DF-45D0-955A-D2E47CA64ACD}"/>
            </a:ext>
          </a:extLst>
        </xdr:cNvPr>
        <xdr:cNvSpPr txBox="1"/>
      </xdr:nvSpPr>
      <xdr:spPr>
        <a:xfrm>
          <a:off x="5548312" y="4316864"/>
          <a:ext cx="3221492" cy="996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US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 B explains more variance and is less dominated by the extreme 220 sqm / 1658.8 kEUR point. Also, for apartments smaller than approx. 14 sqm Model A estimates a negative Price (kEUR), whereas Model B only estimates positive values for ln Price (kEUR).</a:t>
          </a:r>
          <a:endParaRPr lang="de-DE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802141</xdr:colOff>
      <xdr:row>29</xdr:row>
      <xdr:rowOff>138110</xdr:rowOff>
    </xdr:from>
    <xdr:to>
      <xdr:col>8</xdr:col>
      <xdr:colOff>783091</xdr:colOff>
      <xdr:row>33</xdr:row>
      <xdr:rowOff>95251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E6C4FFD-513D-4011-A7E4-006FC6886D31}"/>
                </a:ext>
              </a:extLst>
            </xdr:cNvPr>
            <xdr:cNvSpPr txBox="1"/>
          </xdr:nvSpPr>
          <xdr:spPr>
            <a:xfrm>
              <a:off x="5414962" y="6084431"/>
              <a:ext cx="3226254" cy="746356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lvl="0"/>
              <a:r>
                <a:rPr lang="de-DE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With </a:t>
              </a:r>
              <a14:m>
                <m:oMath xmlns:m="http://schemas.openxmlformats.org/officeDocument/2006/math">
                  <m:r>
                    <a:rPr lang="de-DE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𝑙𝑜𝑔</m:t>
                  </m:r>
                  <m:r>
                    <a:rPr lang="de-DE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⁡(</m:t>
                  </m:r>
                  <m:r>
                    <m:rPr>
                      <m:nor/>
                    </m:rPr>
                    <a:rPr lang="de-DE" sz="1100" i="1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price</m:t>
                  </m:r>
                  <m:r>
                    <a:rPr lang="de-DE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)=</m:t>
                  </m:r>
                  <m:r>
                    <a:rPr lang="de-DE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𝛾</m:t>
                  </m:r>
                  <m:r>
                    <a:rPr lang="de-DE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de-DE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de-DE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𝛽</m:t>
                      </m:r>
                    </m:e>
                    <m:sub>
                      <m:r>
                        <a:rPr lang="de-DE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𝐵</m:t>
                      </m:r>
                    </m:sub>
                  </m:sSub>
                  <m:r>
                    <a:rPr lang="de-DE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⋅</m:t>
                  </m:r>
                  <m:r>
                    <m:rPr>
                      <m:nor/>
                    </m:rPr>
                    <a:rPr lang="de-DE" sz="1100" i="1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size</m:t>
                  </m:r>
                </m:oMath>
              </a14:m>
              <a:r>
                <a:rPr lang="de-DE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, a 1-sqm increase multiplies price by </a:t>
              </a:r>
              <a14:m>
                <m:oMath xmlns:m="http://schemas.openxmlformats.org/officeDocument/2006/math">
                  <m:sSup>
                    <m:sSupPr>
                      <m:ctrlPr>
                        <a:rPr lang="de-DE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de-DE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𝑒</m:t>
                      </m:r>
                    </m:e>
                    <m:sup>
                      <m:sSub>
                        <m:sSubPr>
                          <m:ctrlPr>
                            <a:rPr lang="de-DE" sz="11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de-DE" sz="11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𝛽</m:t>
                          </m:r>
                        </m:e>
                        <m:sub>
                          <m:r>
                            <a:rPr lang="de-DE" sz="11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𝐵</m:t>
                          </m:r>
                        </m:sub>
                      </m:sSub>
                    </m:sup>
                  </m:sSup>
                </m:oMath>
              </a14:m>
              <a:r>
                <a:rPr lang="de-DE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 Here, </a:t>
              </a:r>
              <a14:m>
                <m:oMath xmlns:m="http://schemas.openxmlformats.org/officeDocument/2006/math">
                  <m:sSup>
                    <m:sSupPr>
                      <m:ctrlPr>
                        <a:rPr lang="de-DE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de-DE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𝑒</m:t>
                      </m:r>
                    </m:e>
                    <m:sup>
                      <m:r>
                        <a:rPr lang="de-DE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0.008177</m:t>
                      </m:r>
                    </m:sup>
                  </m:sSup>
                  <m:r>
                    <a:rPr lang="de-DE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−1≈</m:t>
                  </m:r>
                  <m:r>
                    <a:rPr lang="de-DE" sz="1100" b="1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de-DE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de-DE" sz="1100" b="1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𝟖𝟐𝟏</m:t>
                  </m:r>
                  <m:r>
                    <a:rPr lang="de-DE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%</m:t>
                  </m:r>
                </m:oMath>
              </a14:m>
              <a:r>
                <a:rPr lang="de-DE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per </a:t>
              </a:r>
              <a:r>
                <a:rPr lang="de-DE" sz="1100" b="1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additional 1 sqm</a:t>
              </a:r>
              <a:r>
                <a:rPr lang="de-DE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  <a:endParaRPr lang="de-DE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E6C4FFD-513D-4011-A7E4-006FC6886D31}"/>
                </a:ext>
              </a:extLst>
            </xdr:cNvPr>
            <xdr:cNvSpPr txBox="1"/>
          </xdr:nvSpPr>
          <xdr:spPr>
            <a:xfrm>
              <a:off x="5414962" y="6084431"/>
              <a:ext cx="3226254" cy="746356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lvl="0"/>
              <a:r>
                <a:rPr lang="de-DE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With </a:t>
              </a:r>
              <a:r>
                <a:rPr lang="de-DE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𝑙𝑜𝑔⁡(</a:t>
              </a:r>
              <a:r>
                <a:rPr lang="de-DE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"price</a:t>
              </a:r>
              <a:r>
                <a:rPr lang="de-DE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")=𝛾+𝛽_𝐵⋅</a:t>
              </a:r>
              <a:r>
                <a:rPr lang="de-DE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"size</a:t>
              </a:r>
              <a:r>
                <a:rPr lang="de-DE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r>
                <a:rPr lang="de-DE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, a 1-sqm increase multiplies price by </a:t>
              </a:r>
              <a:r>
                <a:rPr lang="de-DE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𝑒^(𝛽_𝐵 )</a:t>
              </a:r>
              <a:r>
                <a:rPr lang="de-DE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 Here, </a:t>
              </a:r>
              <a:r>
                <a:rPr lang="de-DE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𝑒^0.008177−1≈</a:t>
              </a:r>
              <a:r>
                <a:rPr lang="de-DE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𝟎</a:t>
              </a:r>
              <a:r>
                <a:rPr lang="de-DE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  <a:r>
                <a:rPr lang="de-DE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𝟖𝟐𝟏</a:t>
              </a:r>
              <a:r>
                <a:rPr lang="de-DE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%</a:t>
              </a:r>
              <a:r>
                <a:rPr lang="de-DE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per </a:t>
              </a:r>
              <a:r>
                <a:rPr lang="de-DE" sz="1100" b="1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additional 1 sqm</a:t>
              </a:r>
              <a:r>
                <a:rPr lang="de-DE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  <a:endParaRPr lang="de-DE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twoCellAnchor>
  <xdr:twoCellAnchor>
    <xdr:from>
      <xdr:col>0</xdr:col>
      <xdr:colOff>833437</xdr:colOff>
      <xdr:row>34</xdr:row>
      <xdr:rowOff>142874</xdr:rowOff>
    </xdr:from>
    <xdr:to>
      <xdr:col>5</xdr:col>
      <xdr:colOff>520473</xdr:colOff>
      <xdr:row>43</xdr:row>
      <xdr:rowOff>61232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168DD33D-64C9-469A-9B79-6D92CAD9241E}"/>
                </a:ext>
              </a:extLst>
            </xdr:cNvPr>
            <xdr:cNvSpPr txBox="1"/>
          </xdr:nvSpPr>
          <xdr:spPr>
            <a:xfrm>
              <a:off x="833437" y="7147151"/>
              <a:ext cx="4276045" cy="1724706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lvl="0"/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When would you use a logarithmic transformation of price instead of price directly? When is that not appropriate?</a:t>
              </a:r>
            </a:p>
            <a:p>
              <a:pPr lvl="0"/>
              <a:endParaRPr lang="de-DE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lvl="0"/>
              <a:r>
                <a:rPr lang="en-US" sz="1100" b="1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Use log(y) when: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y is strictly positive; distribution is right-skewed; variance grows with the mean; effects are multiplicative/percentage-like.</a:t>
              </a:r>
            </a:p>
            <a:p>
              <a:pPr lvl="0"/>
              <a:endParaRPr lang="de-DE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lvl="0"/>
              <a:r>
                <a:rPr lang="en-US" sz="1100" b="1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Avoid/adjust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when: values can be 0 or negative (you’d need a shift like </a:t>
              </a:r>
              <a14:m>
                <m:oMath xmlns:m="http://schemas.openxmlformats.org/officeDocument/2006/math">
                  <m:r>
                    <a:rPr lang="en-US" sz="1100" i="1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𝑙𝑜𝑔</m:t>
                  </m:r>
                  <m:r>
                    <a:rPr lang="en-US" sz="1100" i="1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(</m:t>
                  </m:r>
                  <m:r>
                    <a:rPr lang="en-US" sz="1100" i="1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𝑦</m:t>
                  </m:r>
                  <m:r>
                    <a:rPr lang="en-US" sz="1100" i="1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+</m:t>
                  </m:r>
                  <m:r>
                    <a:rPr lang="en-US" sz="1100" i="1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𝑐</m:t>
                  </m:r>
                  <m:r>
                    <a:rPr lang="en-US" sz="1100" i="1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n-US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, chosen and justified carefully); interpretability on the original scale is crucial and stakeholders expect additive changes.</a:t>
              </a:r>
              <a:endParaRPr lang="de-DE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168DD33D-64C9-469A-9B79-6D92CAD9241E}"/>
                </a:ext>
              </a:extLst>
            </xdr:cNvPr>
            <xdr:cNvSpPr txBox="1"/>
          </xdr:nvSpPr>
          <xdr:spPr>
            <a:xfrm>
              <a:off x="833437" y="7147151"/>
              <a:ext cx="4276045" cy="1724706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lvl="0"/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When would you use a logarithmic transformation of price instead of price directly? When is that not appropriate?</a:t>
              </a:r>
            </a:p>
            <a:p>
              <a:pPr lvl="0"/>
              <a:endParaRPr lang="de-DE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lvl="0"/>
              <a:r>
                <a:rPr lang="en-US" sz="1100" b="1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Use log(y) when: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y is strictly positive; distribution is right-skewed; variance grows with the mean; effects are multiplicative/percentage-like.</a:t>
              </a:r>
            </a:p>
            <a:p>
              <a:pPr lvl="0"/>
              <a:endParaRPr lang="de-DE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lvl="0"/>
              <a:r>
                <a:rPr lang="en-US" sz="1100" b="1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Avoid/adjust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when: values can be 0 or negative (you’d need a shift like 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𝑙𝑜𝑔(𝑦+𝑐)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, chosen and justified carefully); interpretability on the original scale is crucial and stakeholders expect additive changes.</a:t>
              </a:r>
              <a:endParaRPr lang="de-DE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6B450-8F01-9748-99FF-0ABFADD5D223}">
  <dimension ref="A1:Q33"/>
  <sheetViews>
    <sheetView showGridLines="0" topLeftCell="A19" zoomScale="120" zoomScaleNormal="120" workbookViewId="0">
      <selection activeCell="E31" sqref="E31"/>
    </sheetView>
  </sheetViews>
  <sheetFormatPr defaultColWidth="11" defaultRowHeight="15.75" x14ac:dyDescent="0.5"/>
  <cols>
    <col min="2" max="2" width="1.8125" customWidth="1"/>
    <col min="3" max="6" width="15.8125" customWidth="1"/>
    <col min="7" max="7" width="15.6875" customWidth="1"/>
  </cols>
  <sheetData>
    <row r="1" spans="1:7" ht="10.050000000000001" customHeight="1" thickBot="1" x14ac:dyDescent="0.55000000000000004"/>
    <row r="2" spans="1:7" ht="16.149999999999999" thickBot="1" x14ac:dyDescent="0.55000000000000004">
      <c r="A2" s="4" t="s">
        <v>15</v>
      </c>
      <c r="C2" s="15" t="s">
        <v>4</v>
      </c>
      <c r="D2" s="16" t="s">
        <v>5</v>
      </c>
      <c r="E2" s="16" t="s">
        <v>0</v>
      </c>
      <c r="F2" s="17" t="s">
        <v>9</v>
      </c>
      <c r="G2" s="1"/>
    </row>
    <row r="3" spans="1:7" x14ac:dyDescent="0.5">
      <c r="C3" s="12">
        <v>1</v>
      </c>
      <c r="D3" s="13">
        <v>40</v>
      </c>
      <c r="E3" s="13">
        <v>276.7</v>
      </c>
      <c r="F3" s="20"/>
    </row>
    <row r="4" spans="1:7" x14ac:dyDescent="0.5">
      <c r="C4" s="7">
        <v>2</v>
      </c>
      <c r="D4" s="6">
        <v>55</v>
      </c>
      <c r="E4" s="6">
        <v>249.8</v>
      </c>
      <c r="F4" s="20"/>
    </row>
    <row r="5" spans="1:7" x14ac:dyDescent="0.5">
      <c r="C5" s="7">
        <v>3</v>
      </c>
      <c r="D5" s="6">
        <v>60</v>
      </c>
      <c r="E5" s="6">
        <v>309.10000000000002</v>
      </c>
      <c r="F5" s="20"/>
    </row>
    <row r="6" spans="1:7" x14ac:dyDescent="0.5">
      <c r="C6" s="7">
        <v>4</v>
      </c>
      <c r="D6" s="6">
        <v>70</v>
      </c>
      <c r="E6" s="6">
        <v>479.8</v>
      </c>
      <c r="F6" s="20"/>
    </row>
    <row r="7" spans="1:7" x14ac:dyDescent="0.5">
      <c r="C7" s="7">
        <v>5</v>
      </c>
      <c r="D7" s="6">
        <v>80</v>
      </c>
      <c r="E7" s="6">
        <v>488.1</v>
      </c>
      <c r="F7" s="20"/>
    </row>
    <row r="8" spans="1:7" x14ac:dyDescent="0.5">
      <c r="C8" s="7">
        <v>6</v>
      </c>
      <c r="D8" s="6">
        <v>90</v>
      </c>
      <c r="E8" s="6">
        <v>264.7</v>
      </c>
      <c r="F8" s="20"/>
    </row>
    <row r="9" spans="1:7" x14ac:dyDescent="0.5">
      <c r="C9" s="7">
        <v>7</v>
      </c>
      <c r="D9" s="6">
        <v>100</v>
      </c>
      <c r="E9" s="6">
        <v>469.2</v>
      </c>
      <c r="F9" s="20"/>
    </row>
    <row r="10" spans="1:7" x14ac:dyDescent="0.5">
      <c r="C10" s="7">
        <v>8</v>
      </c>
      <c r="D10" s="6">
        <v>120</v>
      </c>
      <c r="E10" s="6">
        <v>417.9</v>
      </c>
      <c r="F10" s="20"/>
    </row>
    <row r="11" spans="1:7" x14ac:dyDescent="0.5">
      <c r="C11" s="7">
        <v>9</v>
      </c>
      <c r="D11" s="6">
        <v>140</v>
      </c>
      <c r="E11" s="6">
        <v>485.3</v>
      </c>
      <c r="F11" s="20"/>
    </row>
    <row r="12" spans="1:7" x14ac:dyDescent="0.5">
      <c r="C12" s="7">
        <v>10</v>
      </c>
      <c r="D12" s="6">
        <v>160</v>
      </c>
      <c r="E12" s="6">
        <v>622.79999999999995</v>
      </c>
      <c r="F12" s="20"/>
    </row>
    <row r="13" spans="1:7" x14ac:dyDescent="0.5">
      <c r="C13" s="7">
        <v>11</v>
      </c>
      <c r="D13" s="6">
        <v>180</v>
      </c>
      <c r="E13" s="6">
        <v>649</v>
      </c>
      <c r="F13" s="20"/>
    </row>
    <row r="14" spans="1:7" ht="16.149999999999999" thickBot="1" x14ac:dyDescent="0.55000000000000004">
      <c r="C14" s="9">
        <v>12</v>
      </c>
      <c r="D14" s="10">
        <v>220</v>
      </c>
      <c r="E14" s="10">
        <v>1658.8</v>
      </c>
      <c r="F14" s="20"/>
    </row>
    <row r="15" spans="1:7" ht="10.050000000000001" customHeight="1" x14ac:dyDescent="0.5"/>
    <row r="16" spans="1:7" x14ac:dyDescent="0.5">
      <c r="C16" t="s">
        <v>1</v>
      </c>
      <c r="E16" s="19"/>
      <c r="F16" s="19"/>
    </row>
    <row r="17" spans="1:17" x14ac:dyDescent="0.5">
      <c r="C17" t="s">
        <v>2</v>
      </c>
      <c r="E17" s="19"/>
      <c r="F17" s="19"/>
    </row>
    <row r="18" spans="1:17" x14ac:dyDescent="0.5">
      <c r="C18" t="s">
        <v>3</v>
      </c>
      <c r="E18" s="19"/>
      <c r="F18" s="19"/>
      <c r="L18" s="5"/>
      <c r="M18" s="5"/>
      <c r="N18" s="5"/>
      <c r="O18" s="5"/>
      <c r="P18" s="5"/>
      <c r="Q18" s="5"/>
    </row>
    <row r="19" spans="1:17" ht="32" customHeight="1" x14ac:dyDescent="0.5"/>
    <row r="20" spans="1:17" x14ac:dyDescent="0.5">
      <c r="A20" s="4" t="s">
        <v>16</v>
      </c>
      <c r="C20" s="2" t="s">
        <v>13</v>
      </c>
    </row>
    <row r="21" spans="1:17" x14ac:dyDescent="0.5">
      <c r="C21" t="s">
        <v>6</v>
      </c>
      <c r="E21" s="19"/>
    </row>
    <row r="22" spans="1:17" x14ac:dyDescent="0.5">
      <c r="C22" t="s">
        <v>7</v>
      </c>
      <c r="E22" s="19"/>
    </row>
    <row r="23" spans="1:17" x14ac:dyDescent="0.5">
      <c r="C23" t="s">
        <v>8</v>
      </c>
      <c r="E23" s="19"/>
    </row>
    <row r="24" spans="1:17" ht="10.050000000000001" customHeight="1" x14ac:dyDescent="0.5"/>
    <row r="25" spans="1:17" x14ac:dyDescent="0.5">
      <c r="C25" s="2" t="s">
        <v>14</v>
      </c>
    </row>
    <row r="26" spans="1:17" x14ac:dyDescent="0.5">
      <c r="C26" t="s">
        <v>6</v>
      </c>
      <c r="E26" s="19"/>
    </row>
    <row r="27" spans="1:17" x14ac:dyDescent="0.5">
      <c r="C27" t="s">
        <v>7</v>
      </c>
      <c r="E27" s="19"/>
    </row>
    <row r="28" spans="1:17" x14ac:dyDescent="0.5">
      <c r="C28" t="s">
        <v>8</v>
      </c>
      <c r="E28" s="19"/>
    </row>
    <row r="29" spans="1:17" ht="32" customHeight="1" x14ac:dyDescent="0.5"/>
    <row r="30" spans="1:17" x14ac:dyDescent="0.5">
      <c r="A30" s="4" t="s">
        <v>17</v>
      </c>
      <c r="C30" s="2" t="s">
        <v>18</v>
      </c>
    </row>
    <row r="31" spans="1:17" x14ac:dyDescent="0.5">
      <c r="C31" t="s">
        <v>10</v>
      </c>
      <c r="E31" s="18"/>
    </row>
    <row r="32" spans="1:17" x14ac:dyDescent="0.5">
      <c r="C32" t="s">
        <v>11</v>
      </c>
      <c r="E32" s="18"/>
    </row>
    <row r="33" spans="3:5" x14ac:dyDescent="0.5">
      <c r="C33" t="s">
        <v>12</v>
      </c>
      <c r="E33" s="18"/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28BBC-2E6B-5640-A01E-097DA67896BA}">
  <dimension ref="A1:Q35"/>
  <sheetViews>
    <sheetView showGridLines="0" tabSelected="1" topLeftCell="A29" zoomScale="140" zoomScaleNormal="140" workbookViewId="0">
      <selection activeCell="G38" sqref="G38"/>
    </sheetView>
  </sheetViews>
  <sheetFormatPr defaultColWidth="11" defaultRowHeight="15.75" x14ac:dyDescent="0.5"/>
  <cols>
    <col min="2" max="2" width="1.8125" customWidth="1"/>
    <col min="3" max="6" width="15.8125" customWidth="1"/>
    <col min="7" max="7" width="15.6875" customWidth="1"/>
  </cols>
  <sheetData>
    <row r="1" spans="1:7" ht="10.050000000000001" customHeight="1" thickBot="1" x14ac:dyDescent="0.55000000000000004"/>
    <row r="2" spans="1:7" ht="16.149999999999999" thickBot="1" x14ac:dyDescent="0.55000000000000004">
      <c r="A2" s="4" t="s">
        <v>15</v>
      </c>
      <c r="C2" s="15" t="s">
        <v>4</v>
      </c>
      <c r="D2" s="16" t="s">
        <v>5</v>
      </c>
      <c r="E2" s="16" t="s">
        <v>0</v>
      </c>
      <c r="F2" s="17" t="s">
        <v>9</v>
      </c>
      <c r="G2" s="1"/>
    </row>
    <row r="3" spans="1:7" x14ac:dyDescent="0.5">
      <c r="C3" s="12">
        <v>1</v>
      </c>
      <c r="D3" s="13">
        <v>40</v>
      </c>
      <c r="E3" s="13">
        <v>276.7</v>
      </c>
      <c r="F3" s="14">
        <f>LN(E3)</f>
        <v>5.6229338867928798</v>
      </c>
    </row>
    <row r="4" spans="1:7" x14ac:dyDescent="0.5">
      <c r="C4" s="7">
        <v>2</v>
      </c>
      <c r="D4" s="6">
        <v>55</v>
      </c>
      <c r="E4" s="6">
        <v>249.8</v>
      </c>
      <c r="F4" s="8">
        <f t="shared" ref="F4:F14" si="0">LN(E4)</f>
        <v>5.5206605976914771</v>
      </c>
    </row>
    <row r="5" spans="1:7" x14ac:dyDescent="0.5">
      <c r="C5" s="7">
        <v>3</v>
      </c>
      <c r="D5" s="6">
        <v>60</v>
      </c>
      <c r="E5" s="6">
        <v>309.10000000000002</v>
      </c>
      <c r="F5" s="8">
        <f t="shared" si="0"/>
        <v>5.7336648491380711</v>
      </c>
    </row>
    <row r="6" spans="1:7" x14ac:dyDescent="0.5">
      <c r="C6" s="7">
        <v>4</v>
      </c>
      <c r="D6" s="6">
        <v>70</v>
      </c>
      <c r="E6" s="6">
        <v>479.8</v>
      </c>
      <c r="F6" s="8">
        <f t="shared" si="0"/>
        <v>6.1733693504055944</v>
      </c>
    </row>
    <row r="7" spans="1:7" x14ac:dyDescent="0.5">
      <c r="C7" s="7">
        <v>5</v>
      </c>
      <c r="D7" s="6">
        <v>80</v>
      </c>
      <c r="E7" s="6">
        <v>488.1</v>
      </c>
      <c r="F7" s="8">
        <f t="shared" si="0"/>
        <v>6.190520302893102</v>
      </c>
    </row>
    <row r="8" spans="1:7" x14ac:dyDescent="0.5">
      <c r="C8" s="7">
        <v>6</v>
      </c>
      <c r="D8" s="6">
        <v>90</v>
      </c>
      <c r="E8" s="6">
        <v>264.7</v>
      </c>
      <c r="F8" s="8">
        <f t="shared" si="0"/>
        <v>5.5785971092330557</v>
      </c>
    </row>
    <row r="9" spans="1:7" x14ac:dyDescent="0.5">
      <c r="C9" s="7">
        <v>7</v>
      </c>
      <c r="D9" s="6">
        <v>100</v>
      </c>
      <c r="E9" s="6">
        <v>469.2</v>
      </c>
      <c r="F9" s="8">
        <f t="shared" si="0"/>
        <v>6.1510291167793207</v>
      </c>
    </row>
    <row r="10" spans="1:7" x14ac:dyDescent="0.5">
      <c r="C10" s="7">
        <v>8</v>
      </c>
      <c r="D10" s="6">
        <v>120</v>
      </c>
      <c r="E10" s="6">
        <v>417.9</v>
      </c>
      <c r="F10" s="8">
        <f t="shared" si="0"/>
        <v>6.0352421694538698</v>
      </c>
    </row>
    <row r="11" spans="1:7" x14ac:dyDescent="0.5">
      <c r="C11" s="7">
        <v>9</v>
      </c>
      <c r="D11" s="6">
        <v>140</v>
      </c>
      <c r="E11" s="6">
        <v>485.3</v>
      </c>
      <c r="F11" s="8">
        <f t="shared" si="0"/>
        <v>6.1847672564111704</v>
      </c>
    </row>
    <row r="12" spans="1:7" x14ac:dyDescent="0.5">
      <c r="C12" s="7">
        <v>10</v>
      </c>
      <c r="D12" s="6">
        <v>160</v>
      </c>
      <c r="E12" s="6">
        <v>622.79999999999995</v>
      </c>
      <c r="F12" s="8">
        <f t="shared" si="0"/>
        <v>6.4342254399598433</v>
      </c>
    </row>
    <row r="13" spans="1:7" x14ac:dyDescent="0.5">
      <c r="C13" s="7">
        <v>11</v>
      </c>
      <c r="D13" s="6">
        <v>180</v>
      </c>
      <c r="E13" s="6">
        <v>649</v>
      </c>
      <c r="F13" s="8">
        <f t="shared" si="0"/>
        <v>6.4754327167040904</v>
      </c>
    </row>
    <row r="14" spans="1:7" ht="16.149999999999999" thickBot="1" x14ac:dyDescent="0.55000000000000004">
      <c r="C14" s="9">
        <v>12</v>
      </c>
      <c r="D14" s="10">
        <v>220</v>
      </c>
      <c r="E14" s="10">
        <v>1658.8</v>
      </c>
      <c r="F14" s="11">
        <f t="shared" si="0"/>
        <v>7.4138497283722264</v>
      </c>
    </row>
    <row r="15" spans="1:7" ht="10.050000000000001" customHeight="1" x14ac:dyDescent="0.5"/>
    <row r="16" spans="1:7" x14ac:dyDescent="0.5">
      <c r="C16" t="s">
        <v>1</v>
      </c>
      <c r="E16">
        <f>AVERAGE(E3:E14)</f>
        <v>530.93333333333328</v>
      </c>
      <c r="F16">
        <f>AVERAGE(F3:F14)</f>
        <v>6.1261910436528915</v>
      </c>
    </row>
    <row r="17" spans="1:17" x14ac:dyDescent="0.5">
      <c r="C17" t="s">
        <v>2</v>
      </c>
      <c r="E17">
        <f>MEDIAN(E3:E14)</f>
        <v>474.5</v>
      </c>
      <c r="F17">
        <f>MEDIAN(F3:F14)</f>
        <v>6.1621992335924576</v>
      </c>
    </row>
    <row r="18" spans="1:17" x14ac:dyDescent="0.5">
      <c r="C18" t="s">
        <v>3</v>
      </c>
      <c r="E18">
        <f>SKEW(E3:E14)</f>
        <v>2.7354149385630739</v>
      </c>
      <c r="F18">
        <f>SKEW(F3:F14)</f>
        <v>1.2710252001399747</v>
      </c>
      <c r="L18" s="5"/>
      <c r="M18" s="5"/>
      <c r="N18" s="5"/>
      <c r="O18" s="5"/>
      <c r="P18" s="5"/>
      <c r="Q18" s="5"/>
    </row>
    <row r="19" spans="1:17" ht="32" customHeight="1" x14ac:dyDescent="0.5"/>
    <row r="20" spans="1:17" x14ac:dyDescent="0.5">
      <c r="A20" s="4" t="s">
        <v>16</v>
      </c>
      <c r="C20" s="2" t="s">
        <v>13</v>
      </c>
    </row>
    <row r="21" spans="1:17" x14ac:dyDescent="0.5">
      <c r="C21" t="s">
        <v>6</v>
      </c>
      <c r="E21">
        <f>SLOPE(E3:E14,D3:D14)</f>
        <v>5.5433519621691332</v>
      </c>
    </row>
    <row r="22" spans="1:17" x14ac:dyDescent="0.5">
      <c r="C22" t="s">
        <v>7</v>
      </c>
      <c r="E22">
        <f>INTERCEPT(E3:E14,D3:D14)</f>
        <v>-76.525652521034203</v>
      </c>
    </row>
    <row r="23" spans="1:17" x14ac:dyDescent="0.5">
      <c r="C23" t="s">
        <v>8</v>
      </c>
      <c r="E23">
        <f>RSQ(E3:E14,D3:D14)</f>
        <v>0.65919235953182664</v>
      </c>
    </row>
    <row r="24" spans="1:17" ht="10.050000000000001" customHeight="1" x14ac:dyDescent="0.5"/>
    <row r="25" spans="1:17" x14ac:dyDescent="0.5">
      <c r="C25" s="2" t="s">
        <v>14</v>
      </c>
    </row>
    <row r="26" spans="1:17" x14ac:dyDescent="0.5">
      <c r="C26" t="s">
        <v>6</v>
      </c>
      <c r="E26">
        <f>SLOPE(F3:F14,D3:D14)</f>
        <v>8.1768871986475471E-3</v>
      </c>
    </row>
    <row r="27" spans="1:17" x14ac:dyDescent="0.5">
      <c r="C27" t="s">
        <v>7</v>
      </c>
      <c r="E27">
        <f>INTERCEPT(F3:F14,D3:D14)</f>
        <v>5.2301404881344311</v>
      </c>
    </row>
    <row r="28" spans="1:17" x14ac:dyDescent="0.5">
      <c r="C28" t="s">
        <v>8</v>
      </c>
      <c r="E28">
        <f>RSQ(F3:F14,D3:D14)</f>
        <v>0.76433228597881053</v>
      </c>
    </row>
    <row r="29" spans="1:17" ht="32" customHeight="1" x14ac:dyDescent="0.5"/>
    <row r="30" spans="1:17" x14ac:dyDescent="0.5">
      <c r="A30" s="4" t="s">
        <v>17</v>
      </c>
      <c r="C30" s="2" t="s">
        <v>18</v>
      </c>
    </row>
    <row r="31" spans="1:17" x14ac:dyDescent="0.5">
      <c r="C31" t="s">
        <v>10</v>
      </c>
      <c r="E31" s="3">
        <f>EXP(E26)-1</f>
        <v>8.2104092471537715E-3</v>
      </c>
    </row>
    <row r="32" spans="1:17" x14ac:dyDescent="0.5">
      <c r="C32" t="s">
        <v>11</v>
      </c>
      <c r="E32" s="3">
        <f>EXP(E26*10)-1</f>
        <v>8.5204959574831651E-2</v>
      </c>
    </row>
    <row r="33" spans="1:5" x14ac:dyDescent="0.5">
      <c r="C33" t="s">
        <v>12</v>
      </c>
      <c r="E33" s="3">
        <f>EXP(E26*20)-1</f>
        <v>0.17766980428581225</v>
      </c>
    </row>
    <row r="35" spans="1:5" x14ac:dyDescent="0.5">
      <c r="A35" s="1" t="s">
        <v>19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 Transformation</vt:lpstr>
      <vt:lpstr>Solution 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Hermanns</dc:creator>
  <cp:lastModifiedBy>Daniel Kral</cp:lastModifiedBy>
  <dcterms:created xsi:type="dcterms:W3CDTF">2025-10-07T12:35:54Z</dcterms:created>
  <dcterms:modified xsi:type="dcterms:W3CDTF">2026-05-25T20:25:33Z</dcterms:modified>
</cp:coreProperties>
</file>